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s" sheetId="1" r:id="rId4"/>
    <sheet state="visible" name="Player Profile" sheetId="2" r:id="rId5"/>
    <sheet state="visible" name="Session Log" sheetId="3" r:id="rId6"/>
    <sheet state="visible" name="Skill Metrics" sheetId="4" r:id="rId7"/>
    <sheet state="visible" name="Match Data" sheetId="5" r:id="rId8"/>
    <sheet state="visible" name="Performance Dashboard" sheetId="6" r:id="rId9"/>
  </sheets>
  <definedNames>
    <definedName name="PlayerNames">OFFSET('Player Profile'!$B$5,0,0,COUNTA('Player Profile'!$B$5:$B$200),1)</definedName>
    <definedName name="CoachNames">Lists!$K$2:$K$10</definedName>
  </definedNames>
  <calcPr/>
  <extLst>
    <ext uri="GoogleSheetsCustomDataVersion2">
      <go:sheetsCustomData xmlns:go="http://customooxmlschemas.google.com/" r:id="rId10" roundtripDataChecksum="CdX+vW3EVXUTUmT+TXrNeFZc16uA/Cb07nRNZjuPCuA="/>
    </ext>
  </extLst>
</workbook>
</file>

<file path=xl/sharedStrings.xml><?xml version="1.0" encoding="utf-8"?>
<sst xmlns="http://schemas.openxmlformats.org/spreadsheetml/2006/main" count="910" uniqueCount="205">
  <si>
    <t>Players</t>
  </si>
  <si>
    <t>Sessions</t>
  </si>
  <si>
    <t>SessionTypes</t>
  </si>
  <si>
    <t>ActivityCategories</t>
  </si>
  <si>
    <t>MatchFormats</t>
  </si>
  <si>
    <t>Ratings</t>
  </si>
  <si>
    <t>YesNo</t>
  </si>
  <si>
    <t>DominantHand</t>
  </si>
  <si>
    <t>Backhand</t>
  </si>
  <si>
    <t>Levels</t>
  </si>
  <si>
    <t>Coaches</t>
  </si>
  <si>
    <t>Morning</t>
  </si>
  <si>
    <t>Fitness</t>
  </si>
  <si>
    <t>Rally</t>
  </si>
  <si>
    <t>Games</t>
  </si>
  <si>
    <t>Yes</t>
  </si>
  <si>
    <t>Right</t>
  </si>
  <si>
    <t>One-handed</t>
  </si>
  <si>
    <t>Beginner</t>
  </si>
  <si>
    <t>Elan</t>
  </si>
  <si>
    <t>Afternoon</t>
  </si>
  <si>
    <t>Tennis</t>
  </si>
  <si>
    <t>Volley</t>
  </si>
  <si>
    <t>Tiebreak</t>
  </si>
  <si>
    <t>No</t>
  </si>
  <si>
    <t>Left</t>
  </si>
  <si>
    <t>Two-handed</t>
  </si>
  <si>
    <t>Intermediate</t>
  </si>
  <si>
    <t>Evening</t>
  </si>
  <si>
    <t>Match</t>
  </si>
  <si>
    <t>Serve</t>
  </si>
  <si>
    <t>Super Tiebreak</t>
  </si>
  <si>
    <t>Ambidextrous</t>
  </si>
  <si>
    <t>Advanced</t>
  </si>
  <si>
    <t>Recovery</t>
  </si>
  <si>
    <t>Return</t>
  </si>
  <si>
    <t>Set</t>
  </si>
  <si>
    <t>Tournament</t>
  </si>
  <si>
    <t>Video</t>
  </si>
  <si>
    <t>Target Practice</t>
  </si>
  <si>
    <t>Practice Points</t>
  </si>
  <si>
    <t>Member</t>
  </si>
  <si>
    <t>Points Play</t>
  </si>
  <si>
    <t>Tie</t>
  </si>
  <si>
    <t>Coach</t>
  </si>
  <si>
    <t>Match Play</t>
  </si>
  <si>
    <t>Other</t>
  </si>
  <si>
    <t>Footwork</t>
  </si>
  <si>
    <t>Movement</t>
  </si>
  <si>
    <t>Player Profile</t>
  </si>
  <si>
    <t>Track each player's background, current level, goals, strengths, and key focus areas. Add new players directly below the table.</t>
  </si>
  <si>
    <t>Player ID</t>
  </si>
  <si>
    <t>Player Name</t>
  </si>
  <si>
    <t>Age</t>
  </si>
  <si>
    <t>Dominant Hand</t>
  </si>
  <si>
    <t>Level</t>
  </si>
  <si>
    <t>Primary Goals</t>
  </si>
  <si>
    <t>Strengths</t>
  </si>
  <si>
    <t>Improvement Areas</t>
  </si>
  <si>
    <t>Notes</t>
  </si>
  <si>
    <t>Active?</t>
  </si>
  <si>
    <t>P-001</t>
  </si>
  <si>
    <t>Prativ</t>
  </si>
  <si>
    <t>Game Sense</t>
  </si>
  <si>
    <t>Serve, Topspin</t>
  </si>
  <si>
    <t>P-002</t>
  </si>
  <si>
    <t>Bhavishnu</t>
  </si>
  <si>
    <t>Power</t>
  </si>
  <si>
    <t xml:space="preserve">Consistency </t>
  </si>
  <si>
    <t>P-003</t>
  </si>
  <si>
    <t>Aarish</t>
  </si>
  <si>
    <t>Variation</t>
  </si>
  <si>
    <t xml:space="preserve">Tactics and technique </t>
  </si>
  <si>
    <t>P-004</t>
  </si>
  <si>
    <t>Johith</t>
  </si>
  <si>
    <t xml:space="preserve">Court positioning </t>
  </si>
  <si>
    <t>P-005</t>
  </si>
  <si>
    <t>Gowtham</t>
  </si>
  <si>
    <t>Court Coverage, All court player</t>
  </si>
  <si>
    <t>Tactics</t>
  </si>
  <si>
    <t>P-006</t>
  </si>
  <si>
    <t>Athray</t>
  </si>
  <si>
    <t>Good Counter Puncher</t>
  </si>
  <si>
    <t>Serve, NetPlay</t>
  </si>
  <si>
    <t>P-007</t>
  </si>
  <si>
    <t>Arya</t>
  </si>
  <si>
    <t>Hard Hitter</t>
  </si>
  <si>
    <t xml:space="preserve">Consistancy and Approach </t>
  </si>
  <si>
    <t>P-008</t>
  </si>
  <si>
    <t>Alan</t>
  </si>
  <si>
    <t>P-009</t>
  </si>
  <si>
    <t>Fedelesh</t>
  </si>
  <si>
    <t>Members</t>
  </si>
  <si>
    <t>P-010</t>
  </si>
  <si>
    <t>Vivek</t>
  </si>
  <si>
    <t>P-011</t>
  </si>
  <si>
    <t>Stephen</t>
  </si>
  <si>
    <t>P-012</t>
  </si>
  <si>
    <t>Srinivas</t>
  </si>
  <si>
    <t>P-013</t>
  </si>
  <si>
    <t>Session Log</t>
  </si>
  <si>
    <t>One row per player activity. Blue-font columns are manual inputs. Black-font columns calculate automatically. Start/end times are optional references; enter the duration in Manual Duration and Final Duration will mirror it for reporting.</t>
  </si>
  <si>
    <t>Activity ID</t>
  </si>
  <si>
    <t>Date</t>
  </si>
  <si>
    <t>Session</t>
  </si>
  <si>
    <t>Session Type</t>
  </si>
  <si>
    <t>Activity Category</t>
  </si>
  <si>
    <t>Drill / Activity</t>
  </si>
  <si>
    <t>Partner / Opponent</t>
  </si>
  <si>
    <t>Start Time</t>
  </si>
  <si>
    <t>End Time</t>
  </si>
  <si>
    <t>Manual Duration (min)</t>
  </si>
  <si>
    <t>Final Duration (min)</t>
  </si>
  <si>
    <t>Reps / Balls</t>
  </si>
  <si>
    <t>Successful Reps</t>
  </si>
  <si>
    <t>Consistency %</t>
  </si>
  <si>
    <t>Target Attempts</t>
  </si>
  <si>
    <t>Target Hits</t>
  </si>
  <si>
    <t>Target Accuracy %</t>
  </si>
  <si>
    <t>Points Format</t>
  </si>
  <si>
    <t>Score For</t>
  </si>
  <si>
    <t>Score Against</t>
  </si>
  <si>
    <t>Result</t>
  </si>
  <si>
    <t>Intensity (1-5)</t>
  </si>
  <si>
    <t>Coach Notes</t>
  </si>
  <si>
    <t>Down the Line Rally</t>
  </si>
  <si>
    <t>Logged from today's morning session snippet</t>
  </si>
  <si>
    <t>Crosscourt Rally</t>
  </si>
  <si>
    <t>Volleys</t>
  </si>
  <si>
    <t>Won 10-6</t>
  </si>
  <si>
    <t>Elan (Coach)</t>
  </si>
  <si>
    <t>Set with coach</t>
  </si>
  <si>
    <t>Lost 6-10</t>
  </si>
  <si>
    <t>2 vs 1</t>
  </si>
  <si>
    <t>Stephen and Elan</t>
  </si>
  <si>
    <t>2nd Serves</t>
  </si>
  <si>
    <t>1st Serve</t>
  </si>
  <si>
    <t>Target Serves</t>
  </si>
  <si>
    <t>Backhand Crosscourt Rally</t>
  </si>
  <si>
    <t>Forehand Crosscourt Rally</t>
  </si>
  <si>
    <t>Doubles</t>
  </si>
  <si>
    <t>Fedelish, Srinivas, Amar</t>
  </si>
  <si>
    <t>Fedelish, Vivek, Gowtham</t>
  </si>
  <si>
    <t>Stephen, Elan, Srinivas</t>
  </si>
  <si>
    <t>1st and 2nd Serves</t>
  </si>
  <si>
    <t>1st Serves</t>
  </si>
  <si>
    <t>VolleysDown the Line</t>
  </si>
  <si>
    <t xml:space="preserve">Smash Down the Line </t>
  </si>
  <si>
    <t xml:space="preserve">Volleys Down the Line </t>
  </si>
  <si>
    <t>Forehand Corner Down the Line Target Points</t>
  </si>
  <si>
    <t>Backhand Corner Down the Line Target Points</t>
  </si>
  <si>
    <t>Bhavishnu, Vivek, Elan</t>
  </si>
  <si>
    <t>Super tie break</t>
  </si>
  <si>
    <t>Doubles Super tiebreak</t>
  </si>
  <si>
    <t>Fedelesh, Prativ, Vivek</t>
  </si>
  <si>
    <t>Gowtham, Vivek, Elan</t>
  </si>
  <si>
    <t>Serve and Rally</t>
  </si>
  <si>
    <t>Skill Metrics</t>
  </si>
  <si>
    <t>Use this sheet for drill quality: consistency, rally length, target accuracy, errors, and coach rating. Leave non-applicable cells blank.</t>
  </si>
  <si>
    <t>Metric ID</t>
  </si>
  <si>
    <t>Drill Category</t>
  </si>
  <si>
    <t>Drill Name</t>
  </si>
  <si>
    <t>Duration (min)</t>
  </si>
  <si>
    <t>Attempts / Balls</t>
  </si>
  <si>
    <t>Successful / In</t>
  </si>
  <si>
    <t>Avg Rally Length</t>
  </si>
  <si>
    <t>Best Rally Length</t>
  </si>
  <si>
    <t>Unforced Errors</t>
  </si>
  <si>
    <t>Coach Rating (1-5)</t>
  </si>
  <si>
    <t>Morning session imported from notes</t>
  </si>
  <si>
    <t>Match Data</t>
  </si>
  <si>
    <t>Track competitive outcomes separately: score, result, ratings, winners/errors, and tactical notes.</t>
  </si>
  <si>
    <t>Match ID</t>
  </si>
  <si>
    <t>Opponent</t>
  </si>
  <si>
    <t>Format</t>
  </si>
  <si>
    <t>Serve Rating (1-5)</t>
  </si>
  <si>
    <t>Return Rating (1-5)</t>
  </si>
  <si>
    <t>Movement (1-5)</t>
  </si>
  <si>
    <t>Decision Making (1-5)</t>
  </si>
  <si>
    <t>Mental Composure (1-5)</t>
  </si>
  <si>
    <t>Winner Count</t>
  </si>
  <si>
    <t>Error Count</t>
  </si>
  <si>
    <t>Won super tiebreak 10-6</t>
  </si>
  <si>
    <t>Lost super tiebreak 6-10</t>
  </si>
  <si>
    <t>Performance Dashboard</t>
  </si>
  <si>
    <t>Key KPIs</t>
  </si>
  <si>
    <t>Current</t>
  </si>
  <si>
    <t>This dashboard pulls from the Player Profile, Session Log, Skill Metrics, and Match Data sheets. Add new profiles and logs, then refresh/recalculate in Excel if needed.</t>
  </si>
  <si>
    <t>Active Players</t>
  </si>
  <si>
    <t>Total Practice Minutes</t>
  </si>
  <si>
    <t>Practice Entries</t>
  </si>
  <si>
    <t>Skill Entries</t>
  </si>
  <si>
    <t>Avg Rally Consistency</t>
  </si>
  <si>
    <t>Avg Target Accuracy</t>
  </si>
  <si>
    <t>Avg Best Rally Length</t>
  </si>
  <si>
    <t>Match Entries</t>
  </si>
  <si>
    <t>Match Wins</t>
  </si>
  <si>
    <t>Match Win Rate</t>
  </si>
  <si>
    <t>Avg Serve Rating</t>
  </si>
  <si>
    <t>Avg Return Rating</t>
  </si>
  <si>
    <t>Avg Movement</t>
  </si>
  <si>
    <t>Avg Decision Making</t>
  </si>
  <si>
    <t>Last Practice Date</t>
  </si>
  <si>
    <t>Last Match Date</t>
  </si>
  <si>
    <t>Avg Match Win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</si>
</sst>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\-dd\-yyyy"/>
    <numFmt numFmtId="165" formatCode="h:mm\ AM/PM"/>
    <numFmt numFmtId="166" formatCode="0.0"/>
    <numFmt numFmtId="167" formatCode="0.0%"/>
    <numFmt numFmtId="168" formatCode="mm-dd-yyyy"/>
    <numFmt numFmtId="169" formatCode="h:mm am/pm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mbria"/>
    </font>
    <font/>
    <font>
      <i/>
      <sz val="10.0"/>
      <color rgb="FF444444"/>
      <name val="Cambria"/>
    </font>
    <font>
      <b/>
      <sz val="11.0"/>
      <color rgb="FF000000"/>
      <name val="Cambria"/>
    </font>
    <font>
      <sz val="11.0"/>
      <color rgb="FF008000"/>
      <name val="Cambria"/>
    </font>
    <font>
      <sz val="11.0"/>
      <color rgb="FF0000FF"/>
      <name val="Cambria"/>
    </font>
    <font>
      <color rgb="FF38761D"/>
      <name val="Calibri"/>
      <scheme val="minor"/>
    </font>
    <font>
      <color rgb="FF0000FF"/>
      <name val="Calibri"/>
      <scheme val="minor"/>
    </font>
    <font>
      <sz val="11.0"/>
      <color rgb="FF000000"/>
      <name val="Cambria"/>
    </font>
    <font>
      <color rgb="FF0000FF"/>
      <name val="Cambria"/>
    </font>
    <font>
      <color theme="1"/>
      <name val="Cambria"/>
    </font>
    <font>
      <sz val="11.0"/>
      <color theme="1"/>
      <name val="Calibri"/>
    </font>
    <font>
      <sz val="11.0"/>
      <color rgb="FF666666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AF7"/>
        <bgColor rgb="FFD9EAF7"/>
      </patternFill>
    </fill>
    <fill>
      <patternFill patternType="solid">
        <fgColor rgb="FFF7FBFF"/>
        <bgColor rgb="FFF7FB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1F4E78"/>
      </bottom>
    </border>
    <border>
      <bottom style="thin">
        <color rgb="FFD9D9D9"/>
      </bottom>
    </border>
    <border>
      <left/>
      <right/>
      <top/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6" fillId="5" fontId="10" numFmtId="0" xfId="0" applyAlignment="1" applyBorder="1" applyFill="1" applyFont="1">
      <alignment shrinkToFit="0" vertical="top" wrapText="1"/>
    </xf>
    <xf borderId="5" fillId="0" fontId="7" numFmtId="164" xfId="0" applyAlignment="1" applyBorder="1" applyFont="1" applyNumberFormat="1">
      <alignment shrinkToFit="0" vertical="top" wrapText="1"/>
    </xf>
    <xf borderId="5" fillId="0" fontId="7" numFmtId="165" xfId="0" applyAlignment="1" applyBorder="1" applyFont="1" applyNumberFormat="1">
      <alignment readingOrder="0" shrinkToFit="0" vertical="top" wrapText="1"/>
    </xf>
    <xf borderId="6" fillId="5" fontId="10" numFmtId="166" xfId="0" applyAlignment="1" applyBorder="1" applyFont="1" applyNumberFormat="1">
      <alignment shrinkToFit="0" vertical="top" wrapText="1"/>
    </xf>
    <xf borderId="6" fillId="5" fontId="10" numFmtId="167" xfId="0" applyAlignment="1" applyBorder="1" applyFont="1" applyNumberFormat="1">
      <alignment shrinkToFit="0" vertical="top" wrapText="1"/>
    </xf>
    <xf borderId="5" fillId="0" fontId="7" numFmtId="20" xfId="0" applyAlignment="1" applyBorder="1" applyFont="1" applyNumberFormat="1">
      <alignment readingOrder="0" shrinkToFit="0" vertical="top" wrapText="1"/>
    </xf>
    <xf borderId="5" fillId="0" fontId="7" numFmtId="165" xfId="0" applyAlignment="1" applyBorder="1" applyFont="1" applyNumberFormat="1">
      <alignment shrinkToFit="0" vertical="top" wrapText="1"/>
    </xf>
    <xf borderId="0" fillId="0" fontId="11" numFmtId="168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169" xfId="0" applyAlignment="1" applyFont="1" applyNumberFormat="1">
      <alignment readingOrder="0"/>
    </xf>
    <xf borderId="0" fillId="0" fontId="11" numFmtId="0" xfId="0" applyFont="1"/>
    <xf borderId="0" fillId="0" fontId="11" numFmtId="20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20" xfId="0" applyAlignment="1" applyFont="1" applyNumberFormat="1">
      <alignment readingOrder="0"/>
    </xf>
    <xf borderId="0" fillId="0" fontId="12" numFmtId="0" xfId="0" applyFont="1"/>
    <xf borderId="6" fillId="5" fontId="10" numFmtId="166" xfId="0" applyAlignment="1" applyBorder="1" applyFont="1" applyNumberFormat="1">
      <alignment readingOrder="0" shrinkToFit="0" vertical="top" wrapText="1"/>
    </xf>
    <xf borderId="0" fillId="0" fontId="12" numFmtId="169" xfId="0" applyAlignment="1" applyFont="1" applyNumberFormat="1">
      <alignment readingOrder="0"/>
    </xf>
    <xf borderId="7" fillId="2" fontId="2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6" fillId="5" fontId="13" numFmtId="0" xfId="0" applyAlignment="1" applyBorder="1" applyFont="1">
      <alignment shrinkToFit="0" vertical="bottom" wrapText="0"/>
    </xf>
    <xf borderId="6" fillId="5" fontId="13" numFmtId="167" xfId="0" applyAlignment="1" applyBorder="1" applyFont="1" applyNumberFormat="1">
      <alignment shrinkToFit="0" vertical="bottom" wrapText="0"/>
    </xf>
    <xf borderId="5" fillId="0" fontId="10" numFmtId="0" xfId="0" applyAlignment="1" applyBorder="1" applyFont="1">
      <alignment shrinkToFit="0" vertical="top" wrapText="1"/>
    </xf>
    <xf borderId="5" fillId="0" fontId="14" numFmtId="0" xfId="0" applyAlignment="1" applyBorder="1" applyFont="1">
      <alignment shrinkToFit="0" vertical="top" wrapText="1"/>
    </xf>
    <xf borderId="6" fillId="5" fontId="10" numFmtId="16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Total Practice Minutes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 Practice Minutes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'Performance Dashboard'!$A$5:$A$8</c:f>
            </c:strRef>
          </c:cat>
          <c:val>
            <c:numRef>
              <c:f>'Performance Dashboard'!$D$5:$D$8</c:f>
              <c:numCache/>
            </c:numRef>
          </c:val>
        </c:ser>
        <c:axId val="1880538179"/>
        <c:axId val="1028268915"/>
      </c:barChart>
      <c:catAx>
        <c:axId val="18805381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8268915"/>
      </c:catAx>
      <c:valAx>
        <c:axId val="10282689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0538179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Match Win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Match Win Rate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'Performance Dashboard'!$A$5:$A$99</c:f>
            </c:strRef>
          </c:cat>
          <c:val>
            <c:numRef>
              <c:f>'Performance Dashboard'!$K$5:$K$99</c:f>
              <c:numCache/>
            </c:numRef>
          </c:val>
        </c:ser>
        <c:axId val="242069832"/>
        <c:axId val="1675944730"/>
      </c:barChart>
      <c:catAx>
        <c:axId val="242069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5944730"/>
      </c:catAx>
      <c:valAx>
        <c:axId val="1675944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Win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206983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7</xdr:row>
      <xdr:rowOff>0</xdr:rowOff>
    </xdr:from>
    <xdr:ext cx="4105275" cy="2638425"/>
    <xdr:graphicFrame>
      <xdr:nvGraphicFramePr>
        <xdr:cNvPr id="115856674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0</xdr:colOff>
      <xdr:row>23</xdr:row>
      <xdr:rowOff>0</xdr:rowOff>
    </xdr:from>
    <xdr:ext cx="4105275" cy="2638425"/>
    <xdr:graphicFrame>
      <xdr:nvGraphicFramePr>
        <xdr:cNvPr id="204740848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20.57"/>
    <col customWidth="1" min="4" max="4" width="22.29"/>
    <col customWidth="1" min="5" max="6" width="8.71"/>
    <col customWidth="1" min="7" max="7" width="12.57"/>
    <col customWidth="1" min="8" max="9" width="8.71"/>
    <col customWidth="1" min="10" max="10" width="18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B2" s="1" t="s">
        <v>11</v>
      </c>
      <c r="C2" s="1" t="s">
        <v>12</v>
      </c>
      <c r="D2" s="1" t="s">
        <v>13</v>
      </c>
      <c r="E2" s="1" t="s">
        <v>14</v>
      </c>
      <c r="F2" s="1">
        <v>1.0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B3" s="1" t="s">
        <v>20</v>
      </c>
      <c r="C3" s="1" t="s">
        <v>21</v>
      </c>
      <c r="D3" s="1" t="s">
        <v>22</v>
      </c>
      <c r="E3" s="1" t="s">
        <v>23</v>
      </c>
      <c r="F3" s="1">
        <v>2.0</v>
      </c>
      <c r="G3" s="1" t="s">
        <v>24</v>
      </c>
      <c r="H3" s="1" t="s">
        <v>25</v>
      </c>
      <c r="I3" s="1" t="s">
        <v>26</v>
      </c>
      <c r="J3" s="1" t="s">
        <v>27</v>
      </c>
    </row>
    <row r="4">
      <c r="B4" s="1" t="s">
        <v>28</v>
      </c>
      <c r="C4" s="1" t="s">
        <v>29</v>
      </c>
      <c r="D4" s="1" t="s">
        <v>30</v>
      </c>
      <c r="E4" s="1" t="s">
        <v>31</v>
      </c>
      <c r="F4" s="1">
        <v>3.0</v>
      </c>
      <c r="H4" s="1" t="s">
        <v>32</v>
      </c>
      <c r="J4" s="1" t="s">
        <v>33</v>
      </c>
    </row>
    <row r="5">
      <c r="C5" s="1" t="s">
        <v>34</v>
      </c>
      <c r="D5" s="1" t="s">
        <v>35</v>
      </c>
      <c r="E5" s="1" t="s">
        <v>36</v>
      </c>
      <c r="F5" s="1">
        <v>4.0</v>
      </c>
      <c r="J5" s="1" t="s">
        <v>37</v>
      </c>
    </row>
    <row r="6">
      <c r="C6" s="1" t="s">
        <v>38</v>
      </c>
      <c r="D6" s="1" t="s">
        <v>39</v>
      </c>
      <c r="E6" s="1" t="s">
        <v>40</v>
      </c>
      <c r="F6" s="1">
        <v>5.0</v>
      </c>
      <c r="J6" s="2" t="s">
        <v>41</v>
      </c>
    </row>
    <row r="7">
      <c r="D7" s="1" t="s">
        <v>42</v>
      </c>
      <c r="E7" s="1" t="s">
        <v>43</v>
      </c>
      <c r="J7" s="2" t="s">
        <v>44</v>
      </c>
    </row>
    <row r="8">
      <c r="D8" s="1" t="s">
        <v>45</v>
      </c>
      <c r="E8" s="1" t="s">
        <v>46</v>
      </c>
    </row>
    <row r="9">
      <c r="D9" s="1" t="s">
        <v>12</v>
      </c>
    </row>
    <row r="10">
      <c r="D10" s="1" t="s">
        <v>47</v>
      </c>
    </row>
    <row r="11">
      <c r="D11" s="1" t="s">
        <v>48</v>
      </c>
    </row>
    <row r="12">
      <c r="D12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8.0"/>
    <col customWidth="1" min="4" max="5" width="15.0"/>
    <col customWidth="1" min="6" max="6" width="17.43"/>
    <col customWidth="1" min="7" max="7" width="24.0"/>
    <col customWidth="1" min="8" max="8" width="22.0"/>
    <col customWidth="1" min="9" max="10" width="24.0"/>
    <col customWidth="1" min="11" max="11" width="10.0"/>
    <col customWidth="1" min="12" max="26" width="8.71"/>
  </cols>
  <sheetData>
    <row r="1" ht="24.0" customHeight="1">
      <c r="A1" s="3" t="s">
        <v>49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ht="31.5" customHeight="1">
      <c r="A2" s="6" t="s">
        <v>50</v>
      </c>
      <c r="B2" s="4"/>
      <c r="C2" s="4"/>
      <c r="D2" s="4"/>
      <c r="E2" s="4"/>
      <c r="F2" s="4"/>
      <c r="G2" s="4"/>
      <c r="H2" s="4"/>
      <c r="I2" s="4"/>
      <c r="J2" s="4"/>
      <c r="K2" s="5"/>
    </row>
    <row r="4" ht="31.5" customHeight="1">
      <c r="A4" s="7" t="s">
        <v>51</v>
      </c>
      <c r="B4" s="7" t="s">
        <v>52</v>
      </c>
      <c r="C4" s="7" t="s">
        <v>53</v>
      </c>
      <c r="D4" s="7" t="s">
        <v>54</v>
      </c>
      <c r="E4" s="7" t="s">
        <v>8</v>
      </c>
      <c r="F4" s="7" t="s">
        <v>55</v>
      </c>
      <c r="G4" s="7" t="s">
        <v>56</v>
      </c>
      <c r="H4" s="7" t="s">
        <v>57</v>
      </c>
      <c r="I4" s="7" t="s">
        <v>58</v>
      </c>
      <c r="J4" s="7" t="s">
        <v>59</v>
      </c>
      <c r="K4" s="7" t="s">
        <v>60</v>
      </c>
    </row>
    <row r="5">
      <c r="A5" s="8" t="s">
        <v>61</v>
      </c>
      <c r="B5" s="9" t="s">
        <v>62</v>
      </c>
      <c r="C5" s="10">
        <v>15.0</v>
      </c>
      <c r="D5" s="10" t="s">
        <v>16</v>
      </c>
      <c r="E5" s="10" t="s">
        <v>26</v>
      </c>
      <c r="F5" s="10" t="s">
        <v>33</v>
      </c>
      <c r="G5" s="9"/>
      <c r="H5" s="10" t="s">
        <v>63</v>
      </c>
      <c r="I5" s="10" t="s">
        <v>64</v>
      </c>
      <c r="J5" s="9"/>
      <c r="K5" s="9" t="s">
        <v>15</v>
      </c>
    </row>
    <row r="6">
      <c r="A6" s="8" t="s">
        <v>65</v>
      </c>
      <c r="B6" s="9" t="s">
        <v>66</v>
      </c>
      <c r="C6" s="10">
        <v>16.0</v>
      </c>
      <c r="D6" s="10" t="s">
        <v>16</v>
      </c>
      <c r="E6" s="10" t="s">
        <v>26</v>
      </c>
      <c r="F6" s="10" t="s">
        <v>33</v>
      </c>
      <c r="G6" s="9"/>
      <c r="H6" s="10" t="s">
        <v>67</v>
      </c>
      <c r="I6" s="10" t="s">
        <v>68</v>
      </c>
      <c r="J6" s="9"/>
      <c r="K6" s="9" t="s">
        <v>15</v>
      </c>
    </row>
    <row r="7">
      <c r="A7" s="8" t="s">
        <v>69</v>
      </c>
      <c r="B7" s="9" t="s">
        <v>70</v>
      </c>
      <c r="C7" s="10">
        <v>19.0</v>
      </c>
      <c r="D7" s="10" t="s">
        <v>16</v>
      </c>
      <c r="E7" s="10" t="s">
        <v>26</v>
      </c>
      <c r="F7" s="10" t="s">
        <v>33</v>
      </c>
      <c r="G7" s="9"/>
      <c r="H7" s="10" t="s">
        <v>71</v>
      </c>
      <c r="I7" s="10" t="s">
        <v>72</v>
      </c>
      <c r="J7" s="9"/>
      <c r="K7" s="9" t="s">
        <v>15</v>
      </c>
    </row>
    <row r="8">
      <c r="A8" s="8" t="s">
        <v>73</v>
      </c>
      <c r="B8" s="9" t="s">
        <v>74</v>
      </c>
      <c r="C8" s="10">
        <v>13.0</v>
      </c>
      <c r="D8" s="10" t="s">
        <v>16</v>
      </c>
      <c r="E8" s="10" t="s">
        <v>26</v>
      </c>
      <c r="F8" s="10" t="s">
        <v>33</v>
      </c>
      <c r="G8" s="9"/>
      <c r="H8" s="10" t="s">
        <v>68</v>
      </c>
      <c r="I8" s="10" t="s">
        <v>75</v>
      </c>
      <c r="J8" s="9"/>
      <c r="K8" s="9" t="s">
        <v>15</v>
      </c>
    </row>
    <row r="9">
      <c r="A9" s="11" t="s">
        <v>76</v>
      </c>
      <c r="B9" s="12" t="s">
        <v>77</v>
      </c>
      <c r="C9" s="12">
        <v>17.0</v>
      </c>
      <c r="D9" s="12" t="s">
        <v>16</v>
      </c>
      <c r="E9" s="12" t="s">
        <v>26</v>
      </c>
      <c r="F9" s="12" t="s">
        <v>33</v>
      </c>
      <c r="G9" s="13"/>
      <c r="H9" s="12" t="s">
        <v>78</v>
      </c>
      <c r="I9" s="12" t="s">
        <v>79</v>
      </c>
      <c r="J9" s="13"/>
      <c r="K9" s="12" t="s">
        <v>15</v>
      </c>
    </row>
    <row r="10">
      <c r="A10" s="11" t="s">
        <v>80</v>
      </c>
      <c r="B10" s="12" t="s">
        <v>81</v>
      </c>
      <c r="C10" s="12">
        <v>16.0</v>
      </c>
      <c r="D10" s="12" t="s">
        <v>16</v>
      </c>
      <c r="E10" s="12" t="s">
        <v>26</v>
      </c>
      <c r="F10" s="12" t="s">
        <v>33</v>
      </c>
      <c r="G10" s="13"/>
      <c r="H10" s="12" t="s">
        <v>82</v>
      </c>
      <c r="I10" s="12" t="s">
        <v>83</v>
      </c>
      <c r="J10" s="13"/>
      <c r="K10" s="12" t="s">
        <v>15</v>
      </c>
    </row>
    <row r="11">
      <c r="A11" s="11" t="s">
        <v>84</v>
      </c>
      <c r="B11" s="12" t="s">
        <v>85</v>
      </c>
      <c r="C11" s="12">
        <v>16.0</v>
      </c>
      <c r="D11" s="12" t="s">
        <v>16</v>
      </c>
      <c r="E11" s="12" t="s">
        <v>26</v>
      </c>
      <c r="F11" s="12" t="s">
        <v>33</v>
      </c>
      <c r="G11" s="13"/>
      <c r="H11" s="12" t="s">
        <v>86</v>
      </c>
      <c r="I11" s="12" t="s">
        <v>87</v>
      </c>
      <c r="J11" s="13"/>
      <c r="K11" s="12" t="s">
        <v>15</v>
      </c>
    </row>
    <row r="12">
      <c r="A12" s="11" t="s">
        <v>88</v>
      </c>
      <c r="B12" s="12" t="s">
        <v>89</v>
      </c>
      <c r="C12" s="12">
        <v>15.0</v>
      </c>
      <c r="D12" s="12" t="s">
        <v>16</v>
      </c>
      <c r="E12" s="12" t="s">
        <v>26</v>
      </c>
      <c r="F12" s="12" t="s">
        <v>33</v>
      </c>
      <c r="G12" s="13"/>
      <c r="H12" s="13"/>
      <c r="I12" s="13"/>
      <c r="J12" s="13"/>
      <c r="K12" s="12" t="s">
        <v>15</v>
      </c>
    </row>
    <row r="13">
      <c r="A13" s="11" t="s">
        <v>90</v>
      </c>
      <c r="B13" s="12" t="s">
        <v>91</v>
      </c>
      <c r="C13" s="12">
        <v>42.0</v>
      </c>
      <c r="D13" s="12" t="s">
        <v>16</v>
      </c>
      <c r="E13" s="12" t="s">
        <v>26</v>
      </c>
      <c r="F13" s="12" t="s">
        <v>92</v>
      </c>
      <c r="G13" s="13"/>
      <c r="H13" s="13"/>
      <c r="I13" s="13"/>
      <c r="J13" s="13"/>
      <c r="K13" s="12" t="s">
        <v>15</v>
      </c>
    </row>
    <row r="14">
      <c r="A14" s="11" t="s">
        <v>93</v>
      </c>
      <c r="B14" s="12" t="s">
        <v>94</v>
      </c>
      <c r="C14" s="12">
        <v>25.0</v>
      </c>
      <c r="D14" s="12" t="s">
        <v>16</v>
      </c>
      <c r="E14" s="12" t="s">
        <v>26</v>
      </c>
      <c r="F14" s="12" t="s">
        <v>92</v>
      </c>
      <c r="G14" s="13"/>
      <c r="H14" s="13"/>
      <c r="I14" s="13"/>
      <c r="J14" s="13"/>
      <c r="K14" s="12" t="s">
        <v>15</v>
      </c>
    </row>
    <row r="15">
      <c r="A15" s="11" t="s">
        <v>95</v>
      </c>
      <c r="B15" s="12" t="s">
        <v>96</v>
      </c>
      <c r="C15" s="12">
        <v>25.0</v>
      </c>
      <c r="D15" s="12" t="s">
        <v>16</v>
      </c>
      <c r="E15" s="12" t="s">
        <v>26</v>
      </c>
      <c r="F15" s="12" t="s">
        <v>44</v>
      </c>
      <c r="G15" s="13"/>
      <c r="H15" s="13"/>
      <c r="I15" s="13"/>
      <c r="J15" s="13"/>
      <c r="K15" s="12" t="s">
        <v>15</v>
      </c>
    </row>
    <row r="16">
      <c r="A16" s="11" t="s">
        <v>97</v>
      </c>
      <c r="B16" s="12" t="s">
        <v>98</v>
      </c>
      <c r="C16" s="12">
        <v>26.0</v>
      </c>
      <c r="D16" s="12" t="s">
        <v>16</v>
      </c>
      <c r="E16" s="12" t="s">
        <v>26</v>
      </c>
      <c r="F16" s="12" t="s">
        <v>44</v>
      </c>
      <c r="G16" s="13"/>
      <c r="H16" s="13"/>
      <c r="I16" s="13"/>
      <c r="J16" s="13"/>
      <c r="K16" s="12" t="s">
        <v>15</v>
      </c>
    </row>
    <row r="17">
      <c r="A17" s="11" t="s">
        <v>99</v>
      </c>
      <c r="B17" s="12" t="s">
        <v>19</v>
      </c>
      <c r="C17" s="12">
        <v>28.0</v>
      </c>
      <c r="D17" s="12" t="s">
        <v>16</v>
      </c>
      <c r="E17" s="12" t="s">
        <v>26</v>
      </c>
      <c r="F17" s="12" t="s">
        <v>44</v>
      </c>
      <c r="G17" s="13"/>
      <c r="H17" s="13"/>
      <c r="I17" s="13"/>
      <c r="J17" s="13"/>
      <c r="K17" s="12" t="s">
        <v>15</v>
      </c>
    </row>
    <row r="18"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>
      <c r="D20" s="1"/>
      <c r="E20" s="1"/>
      <c r="F20" s="1"/>
      <c r="K20" s="1"/>
    </row>
    <row r="21" ht="15.75" customHeight="1">
      <c r="D21" s="1"/>
      <c r="E21" s="1"/>
      <c r="F21" s="1"/>
      <c r="K21" s="1"/>
    </row>
    <row r="22" ht="15.75" customHeight="1">
      <c r="D22" s="1"/>
      <c r="E22" s="1"/>
      <c r="F22" s="1"/>
      <c r="K22" s="1"/>
    </row>
    <row r="23" ht="15.75" customHeight="1">
      <c r="D23" s="1"/>
      <c r="E23" s="1"/>
      <c r="F23" s="1"/>
      <c r="K23" s="1"/>
    </row>
    <row r="24" ht="15.75" customHeight="1">
      <c r="D24" s="1"/>
      <c r="E24" s="1"/>
      <c r="F24" s="1"/>
      <c r="K24" s="1"/>
    </row>
    <row r="25" ht="15.75" customHeight="1">
      <c r="D25" s="1"/>
      <c r="E25" s="1"/>
      <c r="F25" s="1"/>
      <c r="K25" s="1"/>
    </row>
    <row r="26" ht="15.75" customHeight="1">
      <c r="D26" s="1"/>
      <c r="E26" s="1"/>
      <c r="F26" s="1"/>
      <c r="K26" s="1"/>
    </row>
    <row r="27" ht="15.75" customHeight="1">
      <c r="D27" s="1"/>
      <c r="E27" s="1"/>
      <c r="F27" s="1"/>
      <c r="K27" s="1"/>
    </row>
    <row r="28" ht="15.75" customHeight="1">
      <c r="D28" s="1"/>
      <c r="E28" s="1"/>
      <c r="F28" s="1"/>
      <c r="K28" s="1"/>
    </row>
    <row r="29" ht="15.75" customHeight="1">
      <c r="D29" s="1"/>
      <c r="E29" s="1"/>
      <c r="F29" s="1"/>
      <c r="K29" s="1"/>
    </row>
    <row r="30" ht="15.75" customHeight="1">
      <c r="D30" s="1"/>
      <c r="E30" s="1"/>
      <c r="F30" s="1"/>
      <c r="K30" s="1"/>
    </row>
    <row r="31" ht="15.75" customHeight="1">
      <c r="D31" s="1"/>
      <c r="E31" s="1"/>
      <c r="F31" s="1"/>
      <c r="K31" s="1"/>
    </row>
    <row r="32" ht="15.75" customHeight="1">
      <c r="D32" s="1"/>
      <c r="E32" s="1"/>
      <c r="F32" s="1"/>
      <c r="K32" s="1"/>
    </row>
    <row r="33" ht="15.75" customHeight="1">
      <c r="D33" s="1"/>
      <c r="E33" s="1"/>
      <c r="F33" s="1"/>
      <c r="K33" s="1"/>
    </row>
    <row r="34" ht="15.75" customHeight="1">
      <c r="D34" s="1"/>
      <c r="E34" s="1"/>
      <c r="F34" s="1"/>
      <c r="K34" s="1"/>
    </row>
    <row r="35" ht="15.75" customHeight="1">
      <c r="D35" s="1"/>
      <c r="E35" s="1"/>
      <c r="F35" s="1"/>
      <c r="K35" s="1"/>
    </row>
    <row r="36" ht="15.75" customHeight="1">
      <c r="D36" s="1"/>
      <c r="E36" s="1"/>
      <c r="F36" s="1"/>
      <c r="K36" s="1"/>
    </row>
    <row r="37" ht="15.75" customHeight="1">
      <c r="D37" s="1"/>
      <c r="E37" s="1"/>
      <c r="F37" s="1"/>
      <c r="K37" s="1"/>
    </row>
    <row r="38" ht="15.75" customHeight="1">
      <c r="D38" s="1"/>
      <c r="E38" s="1"/>
      <c r="F38" s="1"/>
      <c r="K38" s="1"/>
    </row>
    <row r="39" ht="15.75" customHeight="1">
      <c r="D39" s="1"/>
      <c r="E39" s="1"/>
      <c r="F39" s="1"/>
      <c r="K39" s="1"/>
    </row>
    <row r="40" ht="15.75" customHeight="1">
      <c r="D40" s="1"/>
      <c r="E40" s="1"/>
      <c r="F40" s="1"/>
      <c r="K40" s="1"/>
    </row>
    <row r="41" ht="15.75" customHeight="1">
      <c r="D41" s="1"/>
      <c r="E41" s="1"/>
      <c r="F41" s="1"/>
      <c r="K41" s="1"/>
    </row>
    <row r="42" ht="15.75" customHeight="1">
      <c r="D42" s="1"/>
      <c r="E42" s="1"/>
      <c r="F42" s="1"/>
      <c r="K42" s="1"/>
    </row>
    <row r="43" ht="15.75" customHeight="1">
      <c r="D43" s="1"/>
      <c r="E43" s="1"/>
      <c r="F43" s="1"/>
      <c r="K43" s="1"/>
    </row>
    <row r="44" ht="15.75" customHeight="1">
      <c r="D44" s="1"/>
      <c r="E44" s="1"/>
      <c r="F44" s="1"/>
      <c r="K44" s="1"/>
    </row>
    <row r="45" ht="15.75" customHeight="1">
      <c r="D45" s="1"/>
      <c r="E45" s="1"/>
      <c r="F45" s="1"/>
      <c r="K45" s="1"/>
    </row>
    <row r="46" ht="15.75" customHeight="1">
      <c r="D46" s="1"/>
      <c r="E46" s="1"/>
      <c r="F46" s="1"/>
      <c r="K46" s="1"/>
    </row>
    <row r="47" ht="15.75" customHeight="1">
      <c r="D47" s="1"/>
      <c r="E47" s="1"/>
      <c r="F47" s="1"/>
      <c r="K47" s="1"/>
    </row>
    <row r="48" ht="15.75" customHeight="1">
      <c r="D48" s="1"/>
      <c r="E48" s="1"/>
      <c r="F48" s="1"/>
      <c r="K48" s="1"/>
    </row>
    <row r="49" ht="15.75" customHeight="1">
      <c r="D49" s="1"/>
      <c r="E49" s="1"/>
      <c r="F49" s="1"/>
      <c r="K49" s="1"/>
    </row>
    <row r="50" ht="15.75" customHeight="1">
      <c r="D50" s="1"/>
      <c r="E50" s="1"/>
      <c r="F50" s="1"/>
      <c r="K50" s="1"/>
    </row>
    <row r="51" ht="15.75" customHeight="1">
      <c r="D51" s="1"/>
      <c r="E51" s="1"/>
      <c r="F51" s="1"/>
      <c r="K51" s="1"/>
    </row>
    <row r="52" ht="15.75" customHeight="1">
      <c r="D52" s="1"/>
      <c r="E52" s="1"/>
      <c r="F52" s="1"/>
      <c r="K52" s="1"/>
    </row>
    <row r="53" ht="15.75" customHeight="1">
      <c r="D53" s="1"/>
      <c r="E53" s="1"/>
      <c r="F53" s="1"/>
      <c r="K53" s="1"/>
    </row>
    <row r="54" ht="15.75" customHeight="1">
      <c r="D54" s="1"/>
      <c r="E54" s="1"/>
      <c r="F54" s="1"/>
      <c r="K54" s="1"/>
    </row>
    <row r="55" ht="15.75" customHeight="1">
      <c r="D55" s="1"/>
      <c r="E55" s="1"/>
      <c r="F55" s="1"/>
      <c r="K55" s="1"/>
    </row>
    <row r="56" ht="15.75" customHeight="1">
      <c r="D56" s="1"/>
      <c r="E56" s="1"/>
      <c r="F56" s="1"/>
      <c r="K56" s="1"/>
    </row>
    <row r="57" ht="15.75" customHeight="1">
      <c r="D57" s="1"/>
      <c r="E57" s="1"/>
      <c r="F57" s="1"/>
      <c r="K57" s="1"/>
    </row>
    <row r="58" ht="15.75" customHeight="1">
      <c r="D58" s="1"/>
      <c r="E58" s="1"/>
      <c r="F58" s="1"/>
      <c r="K58" s="1"/>
    </row>
    <row r="59" ht="15.75" customHeight="1">
      <c r="D59" s="1"/>
      <c r="E59" s="1"/>
      <c r="F59" s="1"/>
      <c r="K59" s="1"/>
    </row>
    <row r="60" ht="15.75" customHeight="1">
      <c r="D60" s="1"/>
      <c r="E60" s="1"/>
      <c r="F60" s="1"/>
      <c r="K60" s="1"/>
    </row>
    <row r="61" ht="15.75" customHeight="1">
      <c r="D61" s="1"/>
      <c r="E61" s="1"/>
      <c r="F61" s="1"/>
      <c r="K61" s="1"/>
    </row>
    <row r="62" ht="15.75" customHeight="1">
      <c r="D62" s="1"/>
      <c r="E62" s="1"/>
      <c r="F62" s="1"/>
      <c r="K62" s="1"/>
    </row>
    <row r="63" ht="15.75" customHeight="1">
      <c r="D63" s="1"/>
      <c r="E63" s="1"/>
      <c r="F63" s="1"/>
      <c r="K63" s="1"/>
    </row>
    <row r="64" ht="15.75" customHeight="1">
      <c r="D64" s="1"/>
      <c r="E64" s="1"/>
      <c r="F64" s="1"/>
      <c r="K64" s="1"/>
    </row>
    <row r="65" ht="15.75" customHeight="1">
      <c r="D65" s="1"/>
      <c r="E65" s="1"/>
      <c r="F65" s="1"/>
      <c r="K65" s="1"/>
    </row>
    <row r="66" ht="15.75" customHeight="1">
      <c r="D66" s="1"/>
      <c r="E66" s="1"/>
      <c r="F66" s="1"/>
      <c r="K66" s="1"/>
    </row>
    <row r="67" ht="15.75" customHeight="1">
      <c r="D67" s="1"/>
      <c r="E67" s="1"/>
      <c r="F67" s="1"/>
      <c r="K67" s="1"/>
    </row>
    <row r="68" ht="15.75" customHeight="1">
      <c r="D68" s="1"/>
      <c r="E68" s="1"/>
      <c r="F68" s="1"/>
      <c r="K68" s="1"/>
    </row>
    <row r="69" ht="15.75" customHeight="1">
      <c r="D69" s="1"/>
      <c r="E69" s="1"/>
      <c r="F69" s="1"/>
      <c r="K69" s="1"/>
    </row>
    <row r="70" ht="15.75" customHeight="1">
      <c r="D70" s="1"/>
      <c r="E70" s="1"/>
      <c r="F70" s="1"/>
      <c r="K70" s="1"/>
    </row>
    <row r="71" ht="15.75" customHeight="1">
      <c r="D71" s="1"/>
      <c r="E71" s="1"/>
      <c r="F71" s="1"/>
      <c r="K71" s="1"/>
    </row>
    <row r="72" ht="15.75" customHeight="1">
      <c r="D72" s="1"/>
      <c r="E72" s="1"/>
      <c r="F72" s="1"/>
      <c r="K72" s="1"/>
    </row>
    <row r="73" ht="15.75" customHeight="1">
      <c r="D73" s="1"/>
      <c r="E73" s="1"/>
      <c r="F73" s="1"/>
      <c r="K73" s="1"/>
    </row>
    <row r="74" ht="15.75" customHeight="1">
      <c r="D74" s="1"/>
      <c r="E74" s="1"/>
      <c r="F74" s="1"/>
      <c r="K74" s="1"/>
    </row>
    <row r="75" ht="15.75" customHeight="1">
      <c r="D75" s="1"/>
      <c r="E75" s="1"/>
      <c r="F75" s="1"/>
      <c r="K75" s="1"/>
    </row>
    <row r="76" ht="15.75" customHeight="1">
      <c r="D76" s="1"/>
      <c r="E76" s="1"/>
      <c r="F76" s="1"/>
      <c r="K76" s="1"/>
    </row>
    <row r="77" ht="15.75" customHeight="1">
      <c r="D77" s="1"/>
      <c r="E77" s="1"/>
      <c r="F77" s="1"/>
      <c r="K77" s="1"/>
    </row>
    <row r="78" ht="15.75" customHeight="1">
      <c r="D78" s="1"/>
      <c r="E78" s="1"/>
      <c r="F78" s="1"/>
      <c r="K78" s="1"/>
    </row>
    <row r="79" ht="15.75" customHeight="1">
      <c r="D79" s="1"/>
      <c r="E79" s="1"/>
      <c r="F79" s="1"/>
      <c r="K79" s="1"/>
    </row>
    <row r="80" ht="15.75" customHeight="1">
      <c r="D80" s="1"/>
      <c r="E80" s="1"/>
      <c r="F80" s="1"/>
      <c r="K80" s="1"/>
    </row>
    <row r="81" ht="15.75" customHeight="1">
      <c r="D81" s="1"/>
      <c r="E81" s="1"/>
      <c r="F81" s="1"/>
      <c r="K81" s="1"/>
    </row>
    <row r="82" ht="15.75" customHeight="1">
      <c r="D82" s="1"/>
      <c r="E82" s="1"/>
      <c r="F82" s="1"/>
      <c r="K82" s="1"/>
    </row>
    <row r="83" ht="15.75" customHeight="1">
      <c r="D83" s="1"/>
      <c r="E83" s="1"/>
      <c r="F83" s="1"/>
      <c r="K83" s="1"/>
    </row>
    <row r="84" ht="15.75" customHeight="1">
      <c r="D84" s="1"/>
      <c r="E84" s="1"/>
      <c r="F84" s="1"/>
      <c r="K84" s="1"/>
    </row>
    <row r="85" ht="15.75" customHeight="1">
      <c r="D85" s="1"/>
      <c r="E85" s="1"/>
      <c r="F85" s="1"/>
      <c r="K85" s="1"/>
    </row>
    <row r="86" ht="15.75" customHeight="1">
      <c r="D86" s="1"/>
      <c r="E86" s="1"/>
      <c r="F86" s="1"/>
      <c r="K86" s="1"/>
    </row>
    <row r="87" ht="15.75" customHeight="1">
      <c r="D87" s="1"/>
      <c r="E87" s="1"/>
      <c r="F87" s="1"/>
      <c r="K87" s="1"/>
    </row>
    <row r="88" ht="15.75" customHeight="1">
      <c r="D88" s="1"/>
      <c r="E88" s="1"/>
      <c r="F88" s="1"/>
      <c r="K88" s="1"/>
    </row>
    <row r="89" ht="15.75" customHeight="1">
      <c r="D89" s="1"/>
      <c r="E89" s="1"/>
      <c r="F89" s="1"/>
      <c r="K89" s="1"/>
    </row>
    <row r="90" ht="15.75" customHeight="1">
      <c r="D90" s="1"/>
      <c r="E90" s="1"/>
      <c r="F90" s="1"/>
      <c r="K90" s="1"/>
    </row>
    <row r="91" ht="15.75" customHeight="1">
      <c r="D91" s="1"/>
      <c r="E91" s="1"/>
      <c r="F91" s="1"/>
      <c r="K91" s="1"/>
    </row>
    <row r="92" ht="15.75" customHeight="1">
      <c r="D92" s="1"/>
      <c r="E92" s="1"/>
      <c r="F92" s="1"/>
      <c r="K92" s="1"/>
    </row>
    <row r="93" ht="15.75" customHeight="1">
      <c r="D93" s="1"/>
      <c r="E93" s="1"/>
      <c r="F93" s="1"/>
      <c r="K93" s="1"/>
    </row>
    <row r="94" ht="15.75" customHeight="1">
      <c r="D94" s="1"/>
      <c r="E94" s="1"/>
      <c r="F94" s="1"/>
      <c r="K94" s="1"/>
    </row>
    <row r="95" ht="15.75" customHeight="1">
      <c r="D95" s="1"/>
      <c r="E95" s="1"/>
      <c r="F95" s="1"/>
      <c r="K95" s="1"/>
    </row>
    <row r="96" ht="15.75" customHeight="1">
      <c r="D96" s="1"/>
      <c r="E96" s="1"/>
      <c r="F96" s="1"/>
      <c r="K96" s="1"/>
    </row>
    <row r="97" ht="15.75" customHeight="1">
      <c r="D97" s="1"/>
      <c r="E97" s="1"/>
      <c r="F97" s="1"/>
      <c r="K97" s="1"/>
    </row>
    <row r="98" ht="15.75" customHeight="1">
      <c r="D98" s="1"/>
      <c r="E98" s="1"/>
      <c r="F98" s="1"/>
      <c r="K98" s="1"/>
    </row>
    <row r="99" ht="15.75" customHeight="1">
      <c r="D99" s="1"/>
      <c r="E99" s="1"/>
      <c r="F99" s="1"/>
      <c r="K99" s="1"/>
    </row>
    <row r="100" ht="15.75" customHeight="1">
      <c r="D100" s="1"/>
      <c r="E100" s="1"/>
      <c r="F100" s="1"/>
      <c r="K100" s="1"/>
    </row>
    <row r="101" ht="15.75" customHeight="1">
      <c r="D101" s="1"/>
      <c r="E101" s="1"/>
      <c r="F101" s="1"/>
      <c r="K101" s="1"/>
    </row>
    <row r="102" ht="15.75" customHeight="1">
      <c r="D102" s="1"/>
      <c r="E102" s="1"/>
      <c r="F102" s="1"/>
      <c r="K102" s="1"/>
    </row>
    <row r="103" ht="15.75" customHeight="1">
      <c r="D103" s="1"/>
      <c r="E103" s="1"/>
      <c r="F103" s="1"/>
      <c r="K103" s="1"/>
    </row>
    <row r="104" ht="15.75" customHeight="1">
      <c r="D104" s="1"/>
      <c r="E104" s="1"/>
      <c r="F104" s="1"/>
      <c r="K104" s="1"/>
    </row>
    <row r="105" ht="15.75" customHeight="1">
      <c r="D105" s="1"/>
      <c r="E105" s="1"/>
      <c r="F105" s="1"/>
      <c r="K105" s="1"/>
    </row>
    <row r="106" ht="15.75" customHeight="1">
      <c r="D106" s="1"/>
      <c r="E106" s="1"/>
      <c r="F106" s="1"/>
      <c r="K106" s="1"/>
    </row>
    <row r="107" ht="15.75" customHeight="1">
      <c r="D107" s="1"/>
      <c r="E107" s="1"/>
      <c r="F107" s="1"/>
      <c r="K107" s="1"/>
    </row>
    <row r="108" ht="15.75" customHeight="1">
      <c r="D108" s="1"/>
      <c r="E108" s="1"/>
      <c r="F108" s="1"/>
      <c r="K108" s="1"/>
    </row>
    <row r="109" ht="15.75" customHeight="1">
      <c r="D109" s="1"/>
      <c r="E109" s="1"/>
      <c r="F109" s="1"/>
      <c r="K109" s="1"/>
    </row>
    <row r="110" ht="15.75" customHeight="1">
      <c r="D110" s="1"/>
      <c r="E110" s="1"/>
      <c r="F110" s="1"/>
      <c r="K110" s="1"/>
    </row>
    <row r="111" ht="15.75" customHeight="1">
      <c r="D111" s="1"/>
      <c r="E111" s="1"/>
      <c r="F111" s="1"/>
      <c r="K111" s="1"/>
    </row>
    <row r="112" ht="15.75" customHeight="1">
      <c r="D112" s="1"/>
      <c r="E112" s="1"/>
      <c r="F112" s="1"/>
      <c r="K112" s="1"/>
    </row>
    <row r="113" ht="15.75" customHeight="1">
      <c r="D113" s="1"/>
      <c r="E113" s="1"/>
      <c r="F113" s="1"/>
      <c r="K113" s="1"/>
    </row>
    <row r="114" ht="15.75" customHeight="1">
      <c r="D114" s="1"/>
      <c r="E114" s="1"/>
      <c r="F114" s="1"/>
      <c r="K114" s="1"/>
    </row>
    <row r="115" ht="15.75" customHeight="1">
      <c r="D115" s="1"/>
      <c r="E115" s="1"/>
      <c r="F115" s="1"/>
      <c r="K115" s="1"/>
    </row>
    <row r="116" ht="15.75" customHeight="1">
      <c r="D116" s="1"/>
      <c r="E116" s="1"/>
      <c r="F116" s="1"/>
      <c r="K116" s="1"/>
    </row>
    <row r="117" ht="15.75" customHeight="1">
      <c r="D117" s="1"/>
      <c r="E117" s="1"/>
      <c r="F117" s="1"/>
      <c r="K117" s="1"/>
    </row>
    <row r="118" ht="15.75" customHeight="1">
      <c r="D118" s="1"/>
      <c r="E118" s="1"/>
      <c r="F118" s="1"/>
      <c r="K118" s="1"/>
    </row>
    <row r="119" ht="15.75" customHeight="1">
      <c r="D119" s="1"/>
      <c r="E119" s="1"/>
      <c r="F119" s="1"/>
      <c r="K119" s="1"/>
    </row>
    <row r="120" ht="15.75" customHeight="1">
      <c r="D120" s="1"/>
      <c r="E120" s="1"/>
      <c r="F120" s="1"/>
      <c r="K120" s="1"/>
    </row>
    <row r="121" ht="15.75" customHeight="1">
      <c r="D121" s="1"/>
      <c r="E121" s="1"/>
      <c r="F121" s="1"/>
      <c r="K121" s="1"/>
    </row>
    <row r="122" ht="15.75" customHeight="1">
      <c r="D122" s="1"/>
      <c r="E122" s="1"/>
      <c r="F122" s="1"/>
      <c r="K122" s="1"/>
    </row>
    <row r="123" ht="15.75" customHeight="1">
      <c r="D123" s="1"/>
      <c r="E123" s="1"/>
      <c r="F123" s="1"/>
      <c r="K123" s="1"/>
    </row>
    <row r="124" ht="15.75" customHeight="1">
      <c r="D124" s="1"/>
      <c r="E124" s="1"/>
      <c r="F124" s="1"/>
      <c r="K124" s="1"/>
    </row>
    <row r="125" ht="15.75" customHeight="1">
      <c r="D125" s="1"/>
      <c r="E125" s="1"/>
      <c r="F125" s="1"/>
      <c r="K125" s="1"/>
    </row>
    <row r="126" ht="15.75" customHeight="1">
      <c r="D126" s="1"/>
      <c r="E126" s="1"/>
      <c r="F126" s="1"/>
      <c r="K126" s="1"/>
    </row>
    <row r="127" ht="15.75" customHeight="1">
      <c r="D127" s="1"/>
      <c r="E127" s="1"/>
      <c r="F127" s="1"/>
      <c r="K127" s="1"/>
    </row>
    <row r="128" ht="15.75" customHeight="1">
      <c r="D128" s="1"/>
      <c r="E128" s="1"/>
      <c r="F128" s="1"/>
      <c r="K128" s="1"/>
    </row>
    <row r="129" ht="15.75" customHeight="1">
      <c r="D129" s="1"/>
      <c r="E129" s="1"/>
      <c r="F129" s="1"/>
      <c r="K129" s="1"/>
    </row>
    <row r="130" ht="15.75" customHeight="1">
      <c r="D130" s="1"/>
      <c r="E130" s="1"/>
      <c r="F130" s="1"/>
      <c r="K130" s="1"/>
    </row>
    <row r="131" ht="15.75" customHeight="1">
      <c r="D131" s="1"/>
      <c r="E131" s="1"/>
      <c r="F131" s="1"/>
      <c r="K131" s="1"/>
    </row>
    <row r="132" ht="15.75" customHeight="1">
      <c r="D132" s="1"/>
      <c r="E132" s="1"/>
      <c r="F132" s="1"/>
      <c r="K132" s="1"/>
    </row>
    <row r="133" ht="15.75" customHeight="1">
      <c r="D133" s="1"/>
      <c r="E133" s="1"/>
      <c r="F133" s="1"/>
      <c r="K133" s="1"/>
    </row>
    <row r="134" ht="15.75" customHeight="1">
      <c r="D134" s="1"/>
      <c r="E134" s="1"/>
      <c r="F134" s="1"/>
      <c r="K134" s="1"/>
    </row>
    <row r="135" ht="15.75" customHeight="1">
      <c r="D135" s="1"/>
      <c r="E135" s="1"/>
      <c r="F135" s="1"/>
      <c r="K135" s="1"/>
    </row>
    <row r="136" ht="15.75" customHeight="1">
      <c r="D136" s="1"/>
      <c r="E136" s="1"/>
      <c r="F136" s="1"/>
      <c r="K136" s="1"/>
    </row>
    <row r="137" ht="15.75" customHeight="1">
      <c r="D137" s="1"/>
      <c r="E137" s="1"/>
      <c r="F137" s="1"/>
      <c r="K137" s="1"/>
    </row>
    <row r="138" ht="15.75" customHeight="1">
      <c r="D138" s="1"/>
      <c r="E138" s="1"/>
      <c r="F138" s="1"/>
      <c r="K138" s="1"/>
    </row>
    <row r="139" ht="15.75" customHeight="1">
      <c r="D139" s="1"/>
      <c r="E139" s="1"/>
      <c r="F139" s="1"/>
      <c r="K139" s="1"/>
    </row>
    <row r="140" ht="15.75" customHeight="1">
      <c r="D140" s="1"/>
      <c r="E140" s="1"/>
      <c r="F140" s="1"/>
      <c r="K140" s="1"/>
    </row>
    <row r="141" ht="15.75" customHeight="1">
      <c r="D141" s="1"/>
      <c r="E141" s="1"/>
      <c r="F141" s="1"/>
      <c r="K141" s="1"/>
    </row>
    <row r="142" ht="15.75" customHeight="1">
      <c r="D142" s="1"/>
      <c r="E142" s="1"/>
      <c r="F142" s="1"/>
      <c r="K142" s="1"/>
    </row>
    <row r="143" ht="15.75" customHeight="1">
      <c r="D143" s="1"/>
      <c r="E143" s="1"/>
      <c r="F143" s="1"/>
      <c r="K143" s="1"/>
    </row>
    <row r="144" ht="15.75" customHeight="1">
      <c r="D144" s="1"/>
      <c r="E144" s="1"/>
      <c r="F144" s="1"/>
      <c r="K144" s="1"/>
    </row>
    <row r="145" ht="15.75" customHeight="1">
      <c r="D145" s="1"/>
      <c r="E145" s="1"/>
      <c r="F145" s="1"/>
      <c r="K145" s="1"/>
    </row>
    <row r="146" ht="15.75" customHeight="1">
      <c r="D146" s="1"/>
      <c r="E146" s="1"/>
      <c r="F146" s="1"/>
      <c r="K146" s="1"/>
    </row>
    <row r="147" ht="15.75" customHeight="1">
      <c r="D147" s="1"/>
      <c r="E147" s="1"/>
      <c r="F147" s="1"/>
      <c r="K147" s="1"/>
    </row>
    <row r="148" ht="15.75" customHeight="1">
      <c r="D148" s="1"/>
      <c r="E148" s="1"/>
      <c r="F148" s="1"/>
      <c r="K148" s="1"/>
    </row>
    <row r="149" ht="15.75" customHeight="1">
      <c r="D149" s="1"/>
      <c r="E149" s="1"/>
      <c r="F149" s="1"/>
      <c r="K149" s="1"/>
    </row>
    <row r="150" ht="15.75" customHeight="1">
      <c r="D150" s="1"/>
      <c r="E150" s="1"/>
      <c r="F150" s="1"/>
      <c r="K150" s="1"/>
    </row>
    <row r="151" ht="15.75" customHeight="1">
      <c r="D151" s="1"/>
      <c r="E151" s="1"/>
      <c r="F151" s="1"/>
      <c r="K151" s="1"/>
    </row>
    <row r="152" ht="15.75" customHeight="1">
      <c r="D152" s="1"/>
      <c r="E152" s="1"/>
      <c r="F152" s="1"/>
      <c r="K152" s="1"/>
    </row>
    <row r="153" ht="15.75" customHeight="1">
      <c r="D153" s="1"/>
      <c r="E153" s="1"/>
      <c r="F153" s="1"/>
      <c r="K153" s="1"/>
    </row>
    <row r="154" ht="15.75" customHeight="1">
      <c r="D154" s="1"/>
      <c r="E154" s="1"/>
      <c r="F154" s="1"/>
      <c r="K154" s="1"/>
    </row>
    <row r="155" ht="15.75" customHeight="1">
      <c r="D155" s="1"/>
      <c r="E155" s="1"/>
      <c r="F155" s="1"/>
      <c r="K155" s="1"/>
    </row>
    <row r="156" ht="15.75" customHeight="1">
      <c r="D156" s="1"/>
      <c r="E156" s="1"/>
      <c r="F156" s="1"/>
      <c r="K156" s="1"/>
    </row>
    <row r="157" ht="15.75" customHeight="1">
      <c r="D157" s="1"/>
      <c r="E157" s="1"/>
      <c r="F157" s="1"/>
      <c r="K157" s="1"/>
    </row>
    <row r="158" ht="15.75" customHeight="1">
      <c r="D158" s="1"/>
      <c r="E158" s="1"/>
      <c r="F158" s="1"/>
      <c r="K158" s="1"/>
    </row>
    <row r="159" ht="15.75" customHeight="1">
      <c r="D159" s="1"/>
      <c r="E159" s="1"/>
      <c r="F159" s="1"/>
      <c r="K159" s="1"/>
    </row>
    <row r="160" ht="15.75" customHeight="1">
      <c r="D160" s="1"/>
      <c r="E160" s="1"/>
      <c r="F160" s="1"/>
      <c r="K160" s="1"/>
    </row>
    <row r="161" ht="15.75" customHeight="1">
      <c r="D161" s="1"/>
      <c r="E161" s="1"/>
      <c r="F161" s="1"/>
      <c r="K161" s="1"/>
    </row>
    <row r="162" ht="15.75" customHeight="1">
      <c r="D162" s="1"/>
      <c r="E162" s="1"/>
      <c r="F162" s="1"/>
      <c r="K162" s="1"/>
    </row>
    <row r="163" ht="15.75" customHeight="1">
      <c r="D163" s="1"/>
      <c r="E163" s="1"/>
      <c r="F163" s="1"/>
      <c r="K163" s="1"/>
    </row>
    <row r="164" ht="15.75" customHeight="1">
      <c r="D164" s="1"/>
      <c r="E164" s="1"/>
      <c r="F164" s="1"/>
      <c r="K164" s="1"/>
    </row>
    <row r="165" ht="15.75" customHeight="1">
      <c r="D165" s="1"/>
      <c r="E165" s="1"/>
      <c r="F165" s="1"/>
      <c r="K165" s="1"/>
    </row>
    <row r="166" ht="15.75" customHeight="1">
      <c r="D166" s="1"/>
      <c r="E166" s="1"/>
      <c r="F166" s="1"/>
      <c r="K166" s="1"/>
    </row>
    <row r="167" ht="15.75" customHeight="1">
      <c r="D167" s="1"/>
      <c r="E167" s="1"/>
      <c r="F167" s="1"/>
      <c r="K167" s="1"/>
    </row>
    <row r="168" ht="15.75" customHeight="1">
      <c r="D168" s="1"/>
      <c r="E168" s="1"/>
      <c r="F168" s="1"/>
      <c r="K168" s="1"/>
    </row>
    <row r="169" ht="15.75" customHeight="1">
      <c r="D169" s="1"/>
      <c r="E169" s="1"/>
      <c r="F169" s="1"/>
      <c r="K169" s="1"/>
    </row>
    <row r="170" ht="15.75" customHeight="1">
      <c r="D170" s="1"/>
      <c r="E170" s="1"/>
      <c r="F170" s="1"/>
      <c r="K170" s="1"/>
    </row>
    <row r="171" ht="15.75" customHeight="1">
      <c r="D171" s="1"/>
      <c r="E171" s="1"/>
      <c r="F171" s="1"/>
      <c r="K171" s="1"/>
    </row>
    <row r="172" ht="15.75" customHeight="1">
      <c r="D172" s="1"/>
      <c r="E172" s="1"/>
      <c r="F172" s="1"/>
      <c r="K172" s="1"/>
    </row>
    <row r="173" ht="15.75" customHeight="1">
      <c r="D173" s="1"/>
      <c r="E173" s="1"/>
      <c r="F173" s="1"/>
      <c r="K173" s="1"/>
    </row>
    <row r="174" ht="15.75" customHeight="1">
      <c r="D174" s="1"/>
      <c r="E174" s="1"/>
      <c r="F174" s="1"/>
      <c r="K174" s="1"/>
    </row>
    <row r="175" ht="15.75" customHeight="1">
      <c r="D175" s="1"/>
      <c r="E175" s="1"/>
      <c r="F175" s="1"/>
      <c r="K175" s="1"/>
    </row>
    <row r="176" ht="15.75" customHeight="1">
      <c r="D176" s="1"/>
      <c r="E176" s="1"/>
      <c r="F176" s="1"/>
      <c r="K176" s="1"/>
    </row>
    <row r="177" ht="15.75" customHeight="1">
      <c r="D177" s="1"/>
      <c r="E177" s="1"/>
      <c r="F177" s="1"/>
      <c r="K177" s="1"/>
    </row>
    <row r="178" ht="15.75" customHeight="1">
      <c r="D178" s="1"/>
      <c r="E178" s="1"/>
      <c r="F178" s="1"/>
      <c r="K178" s="1"/>
    </row>
    <row r="179" ht="15.75" customHeight="1">
      <c r="D179" s="1"/>
      <c r="E179" s="1"/>
      <c r="F179" s="1"/>
      <c r="K179" s="1"/>
    </row>
    <row r="180" ht="15.75" customHeight="1">
      <c r="D180" s="1"/>
      <c r="E180" s="1"/>
      <c r="F180" s="1"/>
      <c r="K180" s="1"/>
    </row>
    <row r="181" ht="15.75" customHeight="1">
      <c r="D181" s="1"/>
      <c r="E181" s="1"/>
      <c r="F181" s="1"/>
      <c r="K181" s="1"/>
    </row>
    <row r="182" ht="15.75" customHeight="1">
      <c r="D182" s="1"/>
      <c r="E182" s="1"/>
      <c r="F182" s="1"/>
      <c r="K182" s="1"/>
    </row>
    <row r="183" ht="15.75" customHeight="1">
      <c r="D183" s="1"/>
      <c r="E183" s="1"/>
      <c r="F183" s="1"/>
      <c r="K183" s="1"/>
    </row>
    <row r="184" ht="15.75" customHeight="1">
      <c r="D184" s="1"/>
      <c r="E184" s="1"/>
      <c r="F184" s="1"/>
      <c r="K184" s="1"/>
    </row>
    <row r="185" ht="15.75" customHeight="1">
      <c r="D185" s="1"/>
      <c r="E185" s="1"/>
      <c r="F185" s="1"/>
      <c r="K185" s="1"/>
    </row>
    <row r="186" ht="15.75" customHeight="1">
      <c r="D186" s="1"/>
      <c r="E186" s="1"/>
      <c r="F186" s="1"/>
      <c r="K186" s="1"/>
    </row>
    <row r="187" ht="15.75" customHeight="1">
      <c r="D187" s="1"/>
      <c r="E187" s="1"/>
      <c r="F187" s="1"/>
      <c r="K187" s="1"/>
    </row>
    <row r="188" ht="15.75" customHeight="1">
      <c r="D188" s="1"/>
      <c r="E188" s="1"/>
      <c r="F188" s="1"/>
      <c r="K188" s="1"/>
    </row>
    <row r="189" ht="15.75" customHeight="1">
      <c r="D189" s="1"/>
      <c r="E189" s="1"/>
      <c r="F189" s="1"/>
      <c r="K189" s="1"/>
    </row>
    <row r="190" ht="15.75" customHeight="1">
      <c r="D190" s="1"/>
      <c r="E190" s="1"/>
      <c r="F190" s="1"/>
      <c r="K190" s="1"/>
    </row>
    <row r="191" ht="15.75" customHeight="1">
      <c r="D191" s="1"/>
      <c r="E191" s="1"/>
      <c r="F191" s="1"/>
      <c r="K191" s="1"/>
    </row>
    <row r="192" ht="15.75" customHeight="1">
      <c r="D192" s="1"/>
      <c r="E192" s="1"/>
      <c r="F192" s="1"/>
      <c r="K192" s="1"/>
    </row>
    <row r="193" ht="15.75" customHeight="1">
      <c r="D193" s="1"/>
      <c r="E193" s="1"/>
      <c r="F193" s="1"/>
      <c r="K193" s="1"/>
    </row>
    <row r="194" ht="15.75" customHeight="1">
      <c r="D194" s="1"/>
      <c r="E194" s="1"/>
      <c r="F194" s="1"/>
      <c r="K194" s="1"/>
    </row>
    <row r="195" ht="15.75" customHeight="1">
      <c r="D195" s="1"/>
      <c r="E195" s="1"/>
      <c r="F195" s="1"/>
      <c r="K195" s="1"/>
    </row>
    <row r="196" ht="15.75" customHeight="1">
      <c r="D196" s="1"/>
      <c r="E196" s="1"/>
      <c r="F196" s="1"/>
      <c r="K196" s="1"/>
    </row>
    <row r="197" ht="15.75" customHeight="1">
      <c r="D197" s="1"/>
      <c r="E197" s="1"/>
      <c r="F197" s="1"/>
      <c r="K197" s="1"/>
    </row>
    <row r="198" ht="15.75" customHeight="1">
      <c r="D198" s="1"/>
      <c r="E198" s="1"/>
      <c r="F198" s="1"/>
      <c r="K198" s="1"/>
    </row>
    <row r="199" ht="15.75" customHeight="1">
      <c r="D199" s="1"/>
      <c r="E199" s="1"/>
      <c r="F199" s="1"/>
      <c r="K199" s="1"/>
    </row>
    <row r="200" ht="15.75" customHeight="1">
      <c r="D200" s="1"/>
      <c r="E200" s="1"/>
      <c r="F200" s="1"/>
      <c r="K200" s="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E5:E200">
      <formula1>Lists!$I$2:$I$3</formula1>
    </dataValidation>
    <dataValidation type="list" allowBlank="1" sqref="K5:K200">
      <formula1>Lists!$G$2:$G$3</formula1>
    </dataValidation>
    <dataValidation type="list" allowBlank="1" showErrorMessage="1" sqref="F5:F200">
      <formula1>"Beginner,Intermediate,Advanced,Members,Coach"</formula1>
    </dataValidation>
    <dataValidation type="list" allowBlank="1" sqref="D5:D200">
      <formula1>Lists!$H$2:$H$4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2.14"/>
    <col customWidth="1" min="3" max="3" width="12.57"/>
    <col customWidth="1" min="4" max="4" width="14.0"/>
    <col customWidth="1" min="5" max="5" width="16.0"/>
    <col customWidth="1" min="6" max="6" width="12.0"/>
    <col customWidth="1" min="7" max="7" width="16.0"/>
    <col customWidth="1" min="8" max="8" width="14.43"/>
    <col customWidth="1" min="9" max="9" width="18.0"/>
    <col customWidth="1" min="10" max="11" width="12.0"/>
    <col customWidth="1" min="12" max="12" width="17.0"/>
    <col customWidth="1" min="13" max="13" width="16.0"/>
    <col customWidth="1" min="14" max="14" width="12.0"/>
    <col customWidth="1" min="15" max="15" width="15.0"/>
    <col customWidth="1" min="16" max="16" width="12.0"/>
    <col customWidth="1" min="17" max="17" width="14.0"/>
    <col customWidth="1" min="18" max="18" width="11.0"/>
    <col customWidth="1" min="19" max="19" width="14.0"/>
    <col customWidth="1" min="20" max="20" width="15.0"/>
    <col customWidth="1" min="21" max="21" width="10.0"/>
    <col customWidth="1" min="22" max="22" width="12.0"/>
    <col customWidth="1" min="23" max="23" width="10.0"/>
    <col customWidth="1" min="24" max="24" width="13.0"/>
    <col customWidth="1" min="25" max="25" width="28.0"/>
    <col customWidth="1" min="26" max="26" width="8.71"/>
  </cols>
  <sheetData>
    <row r="1" ht="24.0" customHeight="1">
      <c r="A1" s="3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ht="31.5" customHeight="1">
      <c r="A2" s="6" t="s">
        <v>101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</row>
    <row r="4" ht="31.5" customHeight="1">
      <c r="A4" s="7" t="s">
        <v>102</v>
      </c>
      <c r="B4" s="7" t="s">
        <v>103</v>
      </c>
      <c r="C4" s="7" t="s">
        <v>104</v>
      </c>
      <c r="D4" s="7" t="s">
        <v>105</v>
      </c>
      <c r="E4" s="7" t="s">
        <v>52</v>
      </c>
      <c r="F4" s="7" t="s">
        <v>44</v>
      </c>
      <c r="G4" s="7" t="s">
        <v>106</v>
      </c>
      <c r="H4" s="7" t="s">
        <v>107</v>
      </c>
      <c r="I4" s="7" t="s">
        <v>108</v>
      </c>
      <c r="J4" s="7" t="s">
        <v>109</v>
      </c>
      <c r="K4" s="7" t="s">
        <v>110</v>
      </c>
      <c r="L4" s="7" t="s">
        <v>111</v>
      </c>
      <c r="M4" s="7" t="s">
        <v>112</v>
      </c>
      <c r="N4" s="7" t="s">
        <v>113</v>
      </c>
      <c r="O4" s="7" t="s">
        <v>114</v>
      </c>
      <c r="P4" s="7" t="s">
        <v>115</v>
      </c>
      <c r="Q4" s="7" t="s">
        <v>116</v>
      </c>
      <c r="R4" s="7" t="s">
        <v>117</v>
      </c>
      <c r="S4" s="7" t="s">
        <v>118</v>
      </c>
      <c r="T4" s="7" t="s">
        <v>119</v>
      </c>
      <c r="U4" s="7" t="s">
        <v>120</v>
      </c>
      <c r="V4" s="7" t="s">
        <v>121</v>
      </c>
      <c r="W4" s="7" t="s">
        <v>122</v>
      </c>
      <c r="X4" s="7" t="s">
        <v>123</v>
      </c>
      <c r="Y4" s="7" t="s">
        <v>124</v>
      </c>
    </row>
    <row r="5">
      <c r="A5" s="14" t="str">
        <f t="shared" ref="A5:A40" si="1">IF(E5="","","SL-"&amp;(ROW()-4))</f>
        <v>SL-1</v>
      </c>
      <c r="B5" s="15">
        <v>46090.0</v>
      </c>
      <c r="C5" s="9" t="s">
        <v>11</v>
      </c>
      <c r="D5" s="9" t="s">
        <v>21</v>
      </c>
      <c r="E5" s="9" t="s">
        <v>62</v>
      </c>
      <c r="F5" s="9" t="s">
        <v>19</v>
      </c>
      <c r="G5" s="9" t="s">
        <v>13</v>
      </c>
      <c r="H5" s="9" t="s">
        <v>125</v>
      </c>
      <c r="I5" s="9"/>
      <c r="J5" s="16">
        <v>0.2708333333333333</v>
      </c>
      <c r="K5" s="16">
        <v>0.2777777777777778</v>
      </c>
      <c r="L5" s="10">
        <v>10.0</v>
      </c>
      <c r="M5" s="17">
        <f t="shared" ref="M5:M65" si="2">IF(L5="","",L5)</f>
        <v>10</v>
      </c>
      <c r="N5" s="9"/>
      <c r="O5" s="9"/>
      <c r="P5" s="18" t="str">
        <f t="shared" ref="P5:P106" si="3">IFERROR(O5/N5,"")</f>
        <v/>
      </c>
      <c r="Q5" s="9"/>
      <c r="R5" s="9"/>
      <c r="S5" s="18" t="str">
        <f t="shared" ref="S5:S121" si="4">IFERROR(R5/Q5,"")</f>
        <v/>
      </c>
      <c r="T5" s="9"/>
      <c r="U5" s="9"/>
      <c r="V5" s="9"/>
      <c r="W5" s="14" t="str">
        <f t="shared" ref="W5:W111" si="5">IF(OR(U5="",V5=""),"",IF(U5&gt;V5,"Win",IF(U5&lt;V5,"Loss","Tie")))</f>
        <v/>
      </c>
      <c r="X5" s="9"/>
      <c r="Y5" s="9" t="s">
        <v>126</v>
      </c>
    </row>
    <row r="6">
      <c r="A6" s="14" t="str">
        <f t="shared" si="1"/>
        <v>SL-2</v>
      </c>
      <c r="B6" s="15">
        <v>46090.0</v>
      </c>
      <c r="C6" s="9" t="s">
        <v>11</v>
      </c>
      <c r="D6" s="9" t="s">
        <v>21</v>
      </c>
      <c r="E6" s="9" t="s">
        <v>62</v>
      </c>
      <c r="F6" s="9" t="s">
        <v>19</v>
      </c>
      <c r="G6" s="9" t="s">
        <v>13</v>
      </c>
      <c r="H6" s="9" t="s">
        <v>127</v>
      </c>
      <c r="I6" s="9"/>
      <c r="J6" s="16">
        <v>0.2777777777777778</v>
      </c>
      <c r="K6" s="16">
        <v>0.2847222222222222</v>
      </c>
      <c r="L6" s="10">
        <v>10.0</v>
      </c>
      <c r="M6" s="17">
        <f t="shared" si="2"/>
        <v>10</v>
      </c>
      <c r="N6" s="9"/>
      <c r="O6" s="9"/>
      <c r="P6" s="18" t="str">
        <f t="shared" si="3"/>
        <v/>
      </c>
      <c r="Q6" s="9"/>
      <c r="R6" s="9"/>
      <c r="S6" s="18" t="str">
        <f t="shared" si="4"/>
        <v/>
      </c>
      <c r="T6" s="9"/>
      <c r="U6" s="9"/>
      <c r="V6" s="9"/>
      <c r="W6" s="14" t="str">
        <f t="shared" si="5"/>
        <v/>
      </c>
      <c r="X6" s="9"/>
      <c r="Y6" s="9"/>
    </row>
    <row r="7">
      <c r="A7" s="14" t="str">
        <f t="shared" si="1"/>
        <v>SL-3</v>
      </c>
      <c r="B7" s="15">
        <v>46090.0</v>
      </c>
      <c r="C7" s="9" t="s">
        <v>11</v>
      </c>
      <c r="D7" s="9" t="s">
        <v>21</v>
      </c>
      <c r="E7" s="9" t="s">
        <v>62</v>
      </c>
      <c r="F7" s="9" t="s">
        <v>19</v>
      </c>
      <c r="G7" s="9" t="s">
        <v>22</v>
      </c>
      <c r="H7" s="9" t="s">
        <v>128</v>
      </c>
      <c r="I7" s="9"/>
      <c r="J7" s="16">
        <v>0.2847222222222222</v>
      </c>
      <c r="K7" s="16">
        <v>0.2916666666666667</v>
      </c>
      <c r="L7" s="10">
        <v>10.0</v>
      </c>
      <c r="M7" s="17">
        <f t="shared" si="2"/>
        <v>10</v>
      </c>
      <c r="N7" s="9"/>
      <c r="O7" s="9"/>
      <c r="P7" s="18" t="str">
        <f t="shared" si="3"/>
        <v/>
      </c>
      <c r="Q7" s="9"/>
      <c r="R7" s="9"/>
      <c r="S7" s="18" t="str">
        <f t="shared" si="4"/>
        <v/>
      </c>
      <c r="T7" s="9"/>
      <c r="U7" s="9"/>
      <c r="V7" s="9"/>
      <c r="W7" s="14" t="str">
        <f t="shared" si="5"/>
        <v/>
      </c>
      <c r="X7" s="9"/>
      <c r="Y7" s="9"/>
    </row>
    <row r="8">
      <c r="A8" s="14" t="str">
        <f t="shared" si="1"/>
        <v>SL-4</v>
      </c>
      <c r="B8" s="15">
        <v>46090.0</v>
      </c>
      <c r="C8" s="9" t="s">
        <v>11</v>
      </c>
      <c r="D8" s="9" t="s">
        <v>21</v>
      </c>
      <c r="E8" s="9" t="s">
        <v>62</v>
      </c>
      <c r="F8" s="9" t="s">
        <v>19</v>
      </c>
      <c r="G8" s="9" t="s">
        <v>45</v>
      </c>
      <c r="H8" s="9" t="s">
        <v>31</v>
      </c>
      <c r="I8" s="9" t="s">
        <v>70</v>
      </c>
      <c r="J8" s="16">
        <v>0.2916666666666667</v>
      </c>
      <c r="K8" s="16">
        <v>0.3125</v>
      </c>
      <c r="L8" s="10">
        <v>30.0</v>
      </c>
      <c r="M8" s="17">
        <f t="shared" si="2"/>
        <v>30</v>
      </c>
      <c r="N8" s="9"/>
      <c r="O8" s="9"/>
      <c r="P8" s="18" t="str">
        <f t="shared" si="3"/>
        <v/>
      </c>
      <c r="Q8" s="9"/>
      <c r="R8" s="9"/>
      <c r="S8" s="18" t="str">
        <f t="shared" si="4"/>
        <v/>
      </c>
      <c r="T8" s="9" t="s">
        <v>31</v>
      </c>
      <c r="U8" s="9">
        <v>10.0</v>
      </c>
      <c r="V8" s="9">
        <v>6.0</v>
      </c>
      <c r="W8" s="14" t="str">
        <f t="shared" si="5"/>
        <v>Win</v>
      </c>
      <c r="X8" s="9"/>
      <c r="Y8" s="9" t="s">
        <v>129</v>
      </c>
    </row>
    <row r="9">
      <c r="A9" s="14" t="str">
        <f t="shared" si="1"/>
        <v>SL-5</v>
      </c>
      <c r="B9" s="15">
        <v>46090.0</v>
      </c>
      <c r="C9" s="9" t="s">
        <v>11</v>
      </c>
      <c r="D9" s="9" t="s">
        <v>21</v>
      </c>
      <c r="E9" s="9" t="s">
        <v>62</v>
      </c>
      <c r="F9" s="9" t="s">
        <v>19</v>
      </c>
      <c r="G9" s="9" t="s">
        <v>45</v>
      </c>
      <c r="H9" s="9" t="s">
        <v>36</v>
      </c>
      <c r="I9" s="9" t="s">
        <v>130</v>
      </c>
      <c r="J9" s="16">
        <v>0.3125</v>
      </c>
      <c r="K9" s="19">
        <v>0.3333333333333333</v>
      </c>
      <c r="L9" s="10">
        <v>30.0</v>
      </c>
      <c r="M9" s="17">
        <f t="shared" si="2"/>
        <v>30</v>
      </c>
      <c r="N9" s="9"/>
      <c r="O9" s="9"/>
      <c r="P9" s="18" t="str">
        <f t="shared" si="3"/>
        <v/>
      </c>
      <c r="Q9" s="9"/>
      <c r="R9" s="9"/>
      <c r="S9" s="18" t="str">
        <f t="shared" si="4"/>
        <v/>
      </c>
      <c r="T9" s="9" t="s">
        <v>36</v>
      </c>
      <c r="U9" s="9">
        <v>2.0</v>
      </c>
      <c r="V9" s="9">
        <v>6.0</v>
      </c>
      <c r="W9" s="14" t="str">
        <f t="shared" si="5"/>
        <v>Loss</v>
      </c>
      <c r="X9" s="9"/>
      <c r="Y9" s="9" t="s">
        <v>131</v>
      </c>
    </row>
    <row r="10">
      <c r="A10" s="14" t="str">
        <f t="shared" si="1"/>
        <v>SL-6</v>
      </c>
      <c r="B10" s="15">
        <v>46090.0</v>
      </c>
      <c r="C10" s="9" t="s">
        <v>11</v>
      </c>
      <c r="D10" s="9" t="s">
        <v>21</v>
      </c>
      <c r="E10" s="9" t="s">
        <v>66</v>
      </c>
      <c r="F10" s="9" t="s">
        <v>19</v>
      </c>
      <c r="G10" s="9" t="s">
        <v>13</v>
      </c>
      <c r="H10" s="9" t="s">
        <v>125</v>
      </c>
      <c r="I10" s="9" t="s">
        <v>130</v>
      </c>
      <c r="J10" s="16">
        <v>0.2708333333333333</v>
      </c>
      <c r="K10" s="16">
        <v>0.2777777777777778</v>
      </c>
      <c r="L10" s="10">
        <v>10.0</v>
      </c>
      <c r="M10" s="17">
        <f t="shared" si="2"/>
        <v>10</v>
      </c>
      <c r="N10" s="9"/>
      <c r="O10" s="9"/>
      <c r="P10" s="18" t="str">
        <f t="shared" si="3"/>
        <v/>
      </c>
      <c r="Q10" s="9"/>
      <c r="R10" s="9"/>
      <c r="S10" s="18" t="str">
        <f t="shared" si="4"/>
        <v/>
      </c>
      <c r="T10" s="9"/>
      <c r="U10" s="9"/>
      <c r="V10" s="9"/>
      <c r="W10" s="14" t="str">
        <f t="shared" si="5"/>
        <v/>
      </c>
      <c r="X10" s="9"/>
      <c r="Y10" s="9" t="s">
        <v>126</v>
      </c>
    </row>
    <row r="11">
      <c r="A11" s="14" t="str">
        <f t="shared" si="1"/>
        <v>SL-7</v>
      </c>
      <c r="B11" s="15">
        <v>46090.0</v>
      </c>
      <c r="C11" s="9" t="s">
        <v>11</v>
      </c>
      <c r="D11" s="9" t="s">
        <v>21</v>
      </c>
      <c r="E11" s="9" t="s">
        <v>66</v>
      </c>
      <c r="F11" s="9" t="s">
        <v>19</v>
      </c>
      <c r="G11" s="9" t="s">
        <v>13</v>
      </c>
      <c r="H11" s="9" t="s">
        <v>127</v>
      </c>
      <c r="I11" s="10" t="s">
        <v>70</v>
      </c>
      <c r="J11" s="16">
        <v>0.2777777777777778</v>
      </c>
      <c r="K11" s="16">
        <v>0.2847222222222222</v>
      </c>
      <c r="L11" s="10">
        <v>10.0</v>
      </c>
      <c r="M11" s="17">
        <f t="shared" si="2"/>
        <v>10</v>
      </c>
      <c r="N11" s="9"/>
      <c r="O11" s="9"/>
      <c r="P11" s="18" t="str">
        <f t="shared" si="3"/>
        <v/>
      </c>
      <c r="Q11" s="9"/>
      <c r="R11" s="9"/>
      <c r="S11" s="18" t="str">
        <f t="shared" si="4"/>
        <v/>
      </c>
      <c r="T11" s="9"/>
      <c r="U11" s="9"/>
      <c r="V11" s="9"/>
      <c r="W11" s="14" t="str">
        <f t="shared" si="5"/>
        <v/>
      </c>
      <c r="X11" s="9"/>
      <c r="Y11" s="9"/>
    </row>
    <row r="12">
      <c r="A12" s="14" t="str">
        <f t="shared" si="1"/>
        <v>SL-8</v>
      </c>
      <c r="B12" s="15">
        <v>46090.0</v>
      </c>
      <c r="C12" s="9" t="s">
        <v>11</v>
      </c>
      <c r="D12" s="9" t="s">
        <v>21</v>
      </c>
      <c r="E12" s="9" t="s">
        <v>66</v>
      </c>
      <c r="F12" s="9" t="s">
        <v>19</v>
      </c>
      <c r="G12" s="9" t="s">
        <v>22</v>
      </c>
      <c r="H12" s="9" t="s">
        <v>128</v>
      </c>
      <c r="I12" s="9" t="s">
        <v>130</v>
      </c>
      <c r="J12" s="16">
        <v>0.2847222222222222</v>
      </c>
      <c r="K12" s="16">
        <v>0.2916666666666667</v>
      </c>
      <c r="L12" s="10">
        <v>10.0</v>
      </c>
      <c r="M12" s="17">
        <f t="shared" si="2"/>
        <v>10</v>
      </c>
      <c r="N12" s="9"/>
      <c r="O12" s="9"/>
      <c r="P12" s="18" t="str">
        <f t="shared" si="3"/>
        <v/>
      </c>
      <c r="Q12" s="9"/>
      <c r="R12" s="9"/>
      <c r="S12" s="18" t="str">
        <f t="shared" si="4"/>
        <v/>
      </c>
      <c r="T12" s="9"/>
      <c r="U12" s="9"/>
      <c r="V12" s="9"/>
      <c r="W12" s="14" t="str">
        <f t="shared" si="5"/>
        <v/>
      </c>
      <c r="X12" s="9"/>
      <c r="Y12" s="9"/>
    </row>
    <row r="13">
      <c r="A13" s="14" t="str">
        <f t="shared" si="1"/>
        <v>SL-9</v>
      </c>
      <c r="B13" s="15">
        <v>46090.0</v>
      </c>
      <c r="C13" s="9" t="s">
        <v>11</v>
      </c>
      <c r="D13" s="9" t="s">
        <v>21</v>
      </c>
      <c r="E13" s="9" t="s">
        <v>70</v>
      </c>
      <c r="F13" s="9" t="s">
        <v>19</v>
      </c>
      <c r="G13" s="9" t="s">
        <v>13</v>
      </c>
      <c r="H13" s="9" t="s">
        <v>125</v>
      </c>
      <c r="I13" s="10" t="s">
        <v>62</v>
      </c>
      <c r="J13" s="16">
        <v>0.2708333333333333</v>
      </c>
      <c r="K13" s="16">
        <v>0.2777777777777778</v>
      </c>
      <c r="L13" s="9"/>
      <c r="M13" s="17" t="str">
        <f t="shared" si="2"/>
        <v/>
      </c>
      <c r="N13" s="9"/>
      <c r="O13" s="9"/>
      <c r="P13" s="18" t="str">
        <f t="shared" si="3"/>
        <v/>
      </c>
      <c r="Q13" s="9"/>
      <c r="R13" s="9"/>
      <c r="S13" s="18" t="str">
        <f t="shared" si="4"/>
        <v/>
      </c>
      <c r="T13" s="9"/>
      <c r="U13" s="9"/>
      <c r="V13" s="9"/>
      <c r="W13" s="14" t="str">
        <f t="shared" si="5"/>
        <v/>
      </c>
      <c r="X13" s="9"/>
      <c r="Y13" s="9" t="s">
        <v>126</v>
      </c>
    </row>
    <row r="14">
      <c r="A14" s="14" t="str">
        <f t="shared" si="1"/>
        <v>SL-10</v>
      </c>
      <c r="B14" s="15">
        <v>46090.0</v>
      </c>
      <c r="C14" s="9" t="s">
        <v>11</v>
      </c>
      <c r="D14" s="9" t="s">
        <v>21</v>
      </c>
      <c r="E14" s="9" t="s">
        <v>70</v>
      </c>
      <c r="F14" s="9" t="s">
        <v>19</v>
      </c>
      <c r="G14" s="9" t="s">
        <v>13</v>
      </c>
      <c r="H14" s="9" t="s">
        <v>127</v>
      </c>
      <c r="I14" s="10" t="s">
        <v>66</v>
      </c>
      <c r="J14" s="16">
        <v>0.2777777777777778</v>
      </c>
      <c r="K14" s="16">
        <v>0.2847222222222222</v>
      </c>
      <c r="L14" s="9"/>
      <c r="M14" s="17" t="str">
        <f t="shared" si="2"/>
        <v/>
      </c>
      <c r="N14" s="9"/>
      <c r="O14" s="9"/>
      <c r="P14" s="18" t="str">
        <f t="shared" si="3"/>
        <v/>
      </c>
      <c r="Q14" s="9"/>
      <c r="R14" s="9"/>
      <c r="S14" s="18" t="str">
        <f t="shared" si="4"/>
        <v/>
      </c>
      <c r="T14" s="9"/>
      <c r="U14" s="9"/>
      <c r="V14" s="9"/>
      <c r="W14" s="14" t="str">
        <f t="shared" si="5"/>
        <v/>
      </c>
      <c r="X14" s="9"/>
      <c r="Y14" s="9"/>
    </row>
    <row r="15">
      <c r="A15" s="14" t="str">
        <f t="shared" si="1"/>
        <v>SL-11</v>
      </c>
      <c r="B15" s="15">
        <v>46090.0</v>
      </c>
      <c r="C15" s="9" t="s">
        <v>11</v>
      </c>
      <c r="D15" s="9" t="s">
        <v>21</v>
      </c>
      <c r="E15" s="9" t="s">
        <v>70</v>
      </c>
      <c r="F15" s="9" t="s">
        <v>19</v>
      </c>
      <c r="G15" s="9" t="s">
        <v>22</v>
      </c>
      <c r="H15" s="9" t="s">
        <v>128</v>
      </c>
      <c r="I15" s="10" t="s">
        <v>62</v>
      </c>
      <c r="J15" s="16">
        <v>0.2847222222222222</v>
      </c>
      <c r="K15" s="16">
        <v>0.2916666666666667</v>
      </c>
      <c r="L15" s="9"/>
      <c r="M15" s="17" t="str">
        <f t="shared" si="2"/>
        <v/>
      </c>
      <c r="N15" s="9"/>
      <c r="O15" s="9"/>
      <c r="P15" s="18" t="str">
        <f t="shared" si="3"/>
        <v/>
      </c>
      <c r="Q15" s="9"/>
      <c r="R15" s="9"/>
      <c r="S15" s="18" t="str">
        <f t="shared" si="4"/>
        <v/>
      </c>
      <c r="T15" s="9"/>
      <c r="U15" s="9"/>
      <c r="V15" s="9"/>
      <c r="W15" s="14" t="str">
        <f t="shared" si="5"/>
        <v/>
      </c>
      <c r="X15" s="9"/>
      <c r="Y15" s="9"/>
    </row>
    <row r="16">
      <c r="A16" s="14" t="str">
        <f t="shared" si="1"/>
        <v>SL-12</v>
      </c>
      <c r="B16" s="15">
        <v>46090.0</v>
      </c>
      <c r="C16" s="9" t="s">
        <v>11</v>
      </c>
      <c r="D16" s="9" t="s">
        <v>21</v>
      </c>
      <c r="E16" s="9" t="s">
        <v>70</v>
      </c>
      <c r="F16" s="9" t="s">
        <v>19</v>
      </c>
      <c r="G16" s="9" t="s">
        <v>45</v>
      </c>
      <c r="H16" s="9" t="s">
        <v>31</v>
      </c>
      <c r="I16" s="9" t="s">
        <v>62</v>
      </c>
      <c r="J16" s="20"/>
      <c r="K16" s="20"/>
      <c r="L16" s="9"/>
      <c r="M16" s="17" t="str">
        <f t="shared" si="2"/>
        <v/>
      </c>
      <c r="N16" s="9"/>
      <c r="O16" s="9"/>
      <c r="P16" s="18" t="str">
        <f t="shared" si="3"/>
        <v/>
      </c>
      <c r="Q16" s="9"/>
      <c r="R16" s="9"/>
      <c r="S16" s="18" t="str">
        <f t="shared" si="4"/>
        <v/>
      </c>
      <c r="T16" s="9" t="s">
        <v>31</v>
      </c>
      <c r="U16" s="9">
        <v>6.0</v>
      </c>
      <c r="V16" s="9">
        <v>10.0</v>
      </c>
      <c r="W16" s="14" t="str">
        <f t="shared" si="5"/>
        <v>Loss</v>
      </c>
      <c r="X16" s="9"/>
      <c r="Y16" s="9" t="s">
        <v>132</v>
      </c>
    </row>
    <row r="17">
      <c r="A17" s="14" t="str">
        <f t="shared" si="1"/>
        <v>SL-13</v>
      </c>
      <c r="B17" s="15">
        <v>46090.0</v>
      </c>
      <c r="C17" s="9" t="s">
        <v>11</v>
      </c>
      <c r="D17" s="9" t="s">
        <v>21</v>
      </c>
      <c r="E17" s="9" t="s">
        <v>74</v>
      </c>
      <c r="F17" s="9" t="s">
        <v>19</v>
      </c>
      <c r="G17" s="9" t="s">
        <v>13</v>
      </c>
      <c r="H17" s="9" t="s">
        <v>125</v>
      </c>
      <c r="I17" s="9"/>
      <c r="J17" s="20"/>
      <c r="K17" s="20"/>
      <c r="L17" s="10">
        <v>30.0</v>
      </c>
      <c r="M17" s="17">
        <f t="shared" si="2"/>
        <v>30</v>
      </c>
      <c r="N17" s="9"/>
      <c r="O17" s="9"/>
      <c r="P17" s="18" t="str">
        <f t="shared" si="3"/>
        <v/>
      </c>
      <c r="Q17" s="9"/>
      <c r="R17" s="9"/>
      <c r="S17" s="18" t="str">
        <f t="shared" si="4"/>
        <v/>
      </c>
      <c r="T17" s="9"/>
      <c r="U17" s="9"/>
      <c r="V17" s="9"/>
      <c r="W17" s="14" t="str">
        <f t="shared" si="5"/>
        <v/>
      </c>
      <c r="X17" s="9"/>
      <c r="Y17" s="9" t="s">
        <v>126</v>
      </c>
    </row>
    <row r="18" ht="18.0" customHeight="1">
      <c r="A18" s="14" t="str">
        <f t="shared" si="1"/>
        <v>SL-14</v>
      </c>
      <c r="B18" s="15">
        <v>46090.0</v>
      </c>
      <c r="C18" s="9" t="s">
        <v>11</v>
      </c>
      <c r="D18" s="9" t="s">
        <v>21</v>
      </c>
      <c r="E18" s="9" t="s">
        <v>74</v>
      </c>
      <c r="F18" s="9" t="s">
        <v>19</v>
      </c>
      <c r="G18" s="9" t="s">
        <v>13</v>
      </c>
      <c r="H18" s="9" t="s">
        <v>127</v>
      </c>
      <c r="I18" s="9"/>
      <c r="J18" s="20"/>
      <c r="K18" s="20"/>
      <c r="L18" s="10">
        <v>30.0</v>
      </c>
      <c r="M18" s="17">
        <f t="shared" si="2"/>
        <v>30</v>
      </c>
      <c r="N18" s="9"/>
      <c r="O18" s="9"/>
      <c r="P18" s="18" t="str">
        <f t="shared" si="3"/>
        <v/>
      </c>
      <c r="Q18" s="9"/>
      <c r="R18" s="9"/>
      <c r="S18" s="18" t="str">
        <f t="shared" si="4"/>
        <v/>
      </c>
      <c r="T18" s="9"/>
      <c r="U18" s="9"/>
      <c r="V18" s="9"/>
      <c r="W18" s="14" t="str">
        <f t="shared" si="5"/>
        <v/>
      </c>
      <c r="X18" s="9"/>
      <c r="Y18" s="9"/>
    </row>
    <row r="19">
      <c r="A19" s="14" t="str">
        <f t="shared" si="1"/>
        <v>SL-15</v>
      </c>
      <c r="B19" s="21">
        <v>46090.0</v>
      </c>
      <c r="C19" s="22" t="s">
        <v>28</v>
      </c>
      <c r="D19" s="22" t="s">
        <v>21</v>
      </c>
      <c r="E19" s="22" t="s">
        <v>62</v>
      </c>
      <c r="F19" s="22" t="s">
        <v>19</v>
      </c>
      <c r="G19" s="22" t="s">
        <v>13</v>
      </c>
      <c r="H19" s="22" t="s">
        <v>133</v>
      </c>
      <c r="I19" s="22" t="s">
        <v>134</v>
      </c>
      <c r="J19" s="23">
        <v>0.65625</v>
      </c>
      <c r="K19" s="23">
        <v>0.6666666666666666</v>
      </c>
      <c r="L19" s="22">
        <v>15.0</v>
      </c>
      <c r="M19" s="17">
        <f t="shared" si="2"/>
        <v>15</v>
      </c>
      <c r="N19" s="12">
        <v>100.0</v>
      </c>
      <c r="O19" s="12">
        <v>60.0</v>
      </c>
      <c r="P19" s="18">
        <f t="shared" si="3"/>
        <v>0.6</v>
      </c>
      <c r="Q19" s="13"/>
      <c r="R19" s="13"/>
      <c r="S19" s="18" t="str">
        <f t="shared" si="4"/>
        <v/>
      </c>
      <c r="T19" s="13"/>
      <c r="U19" s="13"/>
      <c r="V19" s="13"/>
      <c r="W19" s="14" t="str">
        <f t="shared" si="5"/>
        <v/>
      </c>
      <c r="X19" s="13"/>
      <c r="Y19" s="13"/>
      <c r="Z19" s="13"/>
    </row>
    <row r="20">
      <c r="A20" s="14" t="str">
        <f t="shared" si="1"/>
        <v>SL-16</v>
      </c>
      <c r="B20" s="21">
        <v>46090.0</v>
      </c>
      <c r="C20" s="22" t="s">
        <v>28</v>
      </c>
      <c r="D20" s="22" t="s">
        <v>21</v>
      </c>
      <c r="E20" s="22" t="s">
        <v>62</v>
      </c>
      <c r="F20" s="22" t="s">
        <v>19</v>
      </c>
      <c r="G20" s="22" t="s">
        <v>30</v>
      </c>
      <c r="H20" s="22" t="s">
        <v>135</v>
      </c>
      <c r="I20" s="24"/>
      <c r="J20" s="23">
        <v>0.6666666666666666</v>
      </c>
      <c r="K20" s="23">
        <v>0.6770833333333334</v>
      </c>
      <c r="L20" s="22">
        <v>15.0</v>
      </c>
      <c r="M20" s="17">
        <f t="shared" si="2"/>
        <v>15</v>
      </c>
      <c r="N20" s="12">
        <v>30.0</v>
      </c>
      <c r="O20" s="12">
        <v>14.0</v>
      </c>
      <c r="P20" s="18">
        <f t="shared" si="3"/>
        <v>0.4666666667</v>
      </c>
      <c r="Q20" s="13"/>
      <c r="R20" s="13"/>
      <c r="S20" s="18" t="str">
        <f t="shared" si="4"/>
        <v/>
      </c>
      <c r="T20" s="13"/>
      <c r="U20" s="13"/>
      <c r="V20" s="13"/>
      <c r="W20" s="14" t="str">
        <f t="shared" si="5"/>
        <v/>
      </c>
      <c r="X20" s="13"/>
      <c r="Y20" s="13"/>
      <c r="Z20" s="13"/>
    </row>
    <row r="21" ht="15.75" customHeight="1">
      <c r="A21" s="14" t="str">
        <f t="shared" si="1"/>
        <v>SL-17</v>
      </c>
      <c r="B21" s="21">
        <v>46090.0</v>
      </c>
      <c r="C21" s="22" t="s">
        <v>28</v>
      </c>
      <c r="D21" s="22" t="s">
        <v>21</v>
      </c>
      <c r="E21" s="22" t="s">
        <v>62</v>
      </c>
      <c r="F21" s="22" t="s">
        <v>19</v>
      </c>
      <c r="G21" s="22" t="s">
        <v>30</v>
      </c>
      <c r="H21" s="22" t="s">
        <v>135</v>
      </c>
      <c r="I21" s="24"/>
      <c r="J21" s="23">
        <v>0.6770833333333334</v>
      </c>
      <c r="K21" s="23">
        <v>0.6875</v>
      </c>
      <c r="L21" s="22">
        <v>15.0</v>
      </c>
      <c r="M21" s="17">
        <f t="shared" si="2"/>
        <v>15</v>
      </c>
      <c r="N21" s="12">
        <v>30.0</v>
      </c>
      <c r="O21" s="12">
        <v>21.0</v>
      </c>
      <c r="P21" s="18">
        <f t="shared" si="3"/>
        <v>0.7</v>
      </c>
      <c r="Q21" s="13"/>
      <c r="R21" s="13"/>
      <c r="S21" s="18" t="str">
        <f t="shared" si="4"/>
        <v/>
      </c>
      <c r="T21" s="13"/>
      <c r="U21" s="13"/>
      <c r="V21" s="13"/>
      <c r="W21" s="14" t="str">
        <f t="shared" si="5"/>
        <v/>
      </c>
      <c r="X21" s="13"/>
      <c r="Y21" s="13"/>
      <c r="Z21" s="13"/>
    </row>
    <row r="22" ht="15.75" customHeight="1">
      <c r="A22" s="14" t="str">
        <f t="shared" si="1"/>
        <v>SL-18</v>
      </c>
      <c r="B22" s="21">
        <v>46090.0</v>
      </c>
      <c r="C22" s="22" t="s">
        <v>28</v>
      </c>
      <c r="D22" s="22" t="s">
        <v>21</v>
      </c>
      <c r="E22" s="22" t="s">
        <v>70</v>
      </c>
      <c r="F22" s="22" t="s">
        <v>19</v>
      </c>
      <c r="G22" s="22" t="s">
        <v>30</v>
      </c>
      <c r="H22" s="22" t="s">
        <v>136</v>
      </c>
      <c r="I22" s="24"/>
      <c r="J22" s="23">
        <v>0.6770833333333334</v>
      </c>
      <c r="K22" s="23">
        <v>0.6875</v>
      </c>
      <c r="L22" s="22">
        <v>15.0</v>
      </c>
      <c r="M22" s="17">
        <f t="shared" si="2"/>
        <v>15</v>
      </c>
      <c r="N22" s="12">
        <v>30.0</v>
      </c>
      <c r="O22" s="12">
        <v>19.0</v>
      </c>
      <c r="P22" s="18">
        <f t="shared" si="3"/>
        <v>0.6333333333</v>
      </c>
      <c r="Q22" s="13"/>
      <c r="R22" s="13"/>
      <c r="S22" s="18" t="str">
        <f t="shared" si="4"/>
        <v/>
      </c>
      <c r="T22" s="13"/>
      <c r="U22" s="13"/>
      <c r="V22" s="13"/>
      <c r="W22" s="14" t="str">
        <f t="shared" si="5"/>
        <v/>
      </c>
      <c r="X22" s="13"/>
      <c r="Y22" s="13"/>
      <c r="Z22" s="13"/>
    </row>
    <row r="23" ht="15.75" customHeight="1">
      <c r="A23" s="14" t="str">
        <f t="shared" si="1"/>
        <v>SL-19</v>
      </c>
      <c r="B23" s="21">
        <v>46090.0</v>
      </c>
      <c r="C23" s="22" t="s">
        <v>28</v>
      </c>
      <c r="D23" s="22" t="s">
        <v>21</v>
      </c>
      <c r="E23" s="22" t="s">
        <v>77</v>
      </c>
      <c r="F23" s="22" t="s">
        <v>19</v>
      </c>
      <c r="G23" s="22" t="s">
        <v>30</v>
      </c>
      <c r="H23" s="22" t="s">
        <v>137</v>
      </c>
      <c r="I23" s="24"/>
      <c r="J23" s="23">
        <v>0.6770833333333334</v>
      </c>
      <c r="K23" s="23">
        <v>0.6875</v>
      </c>
      <c r="L23" s="22">
        <v>15.0</v>
      </c>
      <c r="M23" s="17">
        <f t="shared" si="2"/>
        <v>15</v>
      </c>
      <c r="N23" s="12">
        <v>30.0</v>
      </c>
      <c r="O23" s="12">
        <v>26.0</v>
      </c>
      <c r="P23" s="18">
        <f t="shared" si="3"/>
        <v>0.8666666667</v>
      </c>
      <c r="Q23" s="12">
        <v>30.0</v>
      </c>
      <c r="R23" s="12">
        <v>4.0</v>
      </c>
      <c r="S23" s="18">
        <f t="shared" si="4"/>
        <v>0.1333333333</v>
      </c>
      <c r="T23" s="13"/>
      <c r="U23" s="13"/>
      <c r="V23" s="13"/>
      <c r="W23" s="14" t="str">
        <f t="shared" si="5"/>
        <v/>
      </c>
      <c r="X23" s="13"/>
      <c r="Y23" s="13"/>
      <c r="Z23" s="13"/>
    </row>
    <row r="24" ht="15.75" customHeight="1">
      <c r="A24" s="14" t="str">
        <f t="shared" si="1"/>
        <v>SL-20</v>
      </c>
      <c r="B24" s="21">
        <v>46090.0</v>
      </c>
      <c r="C24" s="22" t="s">
        <v>28</v>
      </c>
      <c r="D24" s="22" t="s">
        <v>21</v>
      </c>
      <c r="E24" s="22" t="s">
        <v>77</v>
      </c>
      <c r="F24" s="22" t="s">
        <v>19</v>
      </c>
      <c r="G24" s="22" t="s">
        <v>13</v>
      </c>
      <c r="H24" s="22" t="s">
        <v>125</v>
      </c>
      <c r="I24" s="22" t="s">
        <v>19</v>
      </c>
      <c r="J24" s="23">
        <v>0.6770833333333334</v>
      </c>
      <c r="K24" s="23">
        <v>0.6875</v>
      </c>
      <c r="L24" s="22">
        <v>15.0</v>
      </c>
      <c r="M24" s="17">
        <f t="shared" si="2"/>
        <v>15</v>
      </c>
      <c r="N24" s="13"/>
      <c r="O24" s="13"/>
      <c r="P24" s="18" t="str">
        <f t="shared" si="3"/>
        <v/>
      </c>
      <c r="Q24" s="13"/>
      <c r="R24" s="13"/>
      <c r="S24" s="18" t="str">
        <f t="shared" si="4"/>
        <v/>
      </c>
      <c r="T24" s="13"/>
      <c r="U24" s="13"/>
      <c r="V24" s="13"/>
      <c r="W24" s="14" t="str">
        <f t="shared" si="5"/>
        <v/>
      </c>
      <c r="X24" s="13"/>
      <c r="Y24" s="13"/>
      <c r="Z24" s="13"/>
    </row>
    <row r="25" ht="15.75" customHeight="1">
      <c r="A25" s="14" t="str">
        <f t="shared" si="1"/>
        <v>SL-21</v>
      </c>
      <c r="B25" s="21">
        <v>46090.0</v>
      </c>
      <c r="C25" s="22" t="s">
        <v>28</v>
      </c>
      <c r="D25" s="22" t="s">
        <v>21</v>
      </c>
      <c r="E25" s="22" t="s">
        <v>77</v>
      </c>
      <c r="F25" s="22" t="s">
        <v>19</v>
      </c>
      <c r="G25" s="22" t="s">
        <v>13</v>
      </c>
      <c r="H25" s="22" t="s">
        <v>138</v>
      </c>
      <c r="I25" s="22" t="s">
        <v>62</v>
      </c>
      <c r="J25" s="25">
        <v>0.6875</v>
      </c>
      <c r="K25" s="25">
        <v>0.6944444444444444</v>
      </c>
      <c r="L25" s="22">
        <v>10.0</v>
      </c>
      <c r="M25" s="17">
        <f t="shared" si="2"/>
        <v>10</v>
      </c>
      <c r="N25" s="13"/>
      <c r="O25" s="13"/>
      <c r="P25" s="18" t="str">
        <f t="shared" si="3"/>
        <v/>
      </c>
      <c r="Q25" s="13"/>
      <c r="R25" s="13"/>
      <c r="S25" s="18" t="str">
        <f t="shared" si="4"/>
        <v/>
      </c>
      <c r="T25" s="13"/>
      <c r="U25" s="13"/>
      <c r="V25" s="13"/>
      <c r="W25" s="14" t="str">
        <f t="shared" si="5"/>
        <v/>
      </c>
      <c r="X25" s="13"/>
      <c r="Y25" s="13"/>
      <c r="Z25" s="13"/>
    </row>
    <row r="26" ht="15.75" customHeight="1">
      <c r="A26" s="14" t="str">
        <f t="shared" si="1"/>
        <v>SL-22</v>
      </c>
      <c r="B26" s="21">
        <v>46090.0</v>
      </c>
      <c r="C26" s="22" t="s">
        <v>28</v>
      </c>
      <c r="D26" s="22" t="s">
        <v>21</v>
      </c>
      <c r="E26" s="22" t="s">
        <v>77</v>
      </c>
      <c r="F26" s="22" t="s">
        <v>19</v>
      </c>
      <c r="G26" s="22" t="s">
        <v>13</v>
      </c>
      <c r="H26" s="22" t="s">
        <v>139</v>
      </c>
      <c r="I26" s="22" t="s">
        <v>70</v>
      </c>
      <c r="J26" s="25">
        <v>0.6944444444444444</v>
      </c>
      <c r="K26" s="23">
        <v>0.7013888888888888</v>
      </c>
      <c r="L26" s="22">
        <v>10.0</v>
      </c>
      <c r="M26" s="17">
        <f t="shared" si="2"/>
        <v>10</v>
      </c>
      <c r="N26" s="13"/>
      <c r="O26" s="13"/>
      <c r="P26" s="18" t="str">
        <f t="shared" si="3"/>
        <v/>
      </c>
      <c r="Q26" s="13"/>
      <c r="R26" s="13"/>
      <c r="S26" s="18" t="str">
        <f t="shared" si="4"/>
        <v/>
      </c>
      <c r="T26" s="13"/>
      <c r="U26" s="13"/>
      <c r="V26" s="13"/>
      <c r="W26" s="14" t="str">
        <f t="shared" si="5"/>
        <v/>
      </c>
      <c r="X26" s="13"/>
      <c r="Y26" s="13"/>
      <c r="Z26" s="13"/>
    </row>
    <row r="27" ht="15.75" customHeight="1">
      <c r="A27" s="14" t="str">
        <f t="shared" si="1"/>
        <v>SL-23</v>
      </c>
      <c r="B27" s="21">
        <v>46090.0</v>
      </c>
      <c r="C27" s="22" t="s">
        <v>28</v>
      </c>
      <c r="D27" s="22" t="s">
        <v>21</v>
      </c>
      <c r="E27" s="22" t="s">
        <v>77</v>
      </c>
      <c r="F27" s="22" t="s">
        <v>19</v>
      </c>
      <c r="G27" s="22" t="s">
        <v>22</v>
      </c>
      <c r="H27" s="22" t="s">
        <v>128</v>
      </c>
      <c r="I27" s="22" t="s">
        <v>62</v>
      </c>
      <c r="J27" s="23">
        <v>0.7013888888888888</v>
      </c>
      <c r="K27" s="23">
        <v>0.7083333333333334</v>
      </c>
      <c r="L27" s="22">
        <v>10.0</v>
      </c>
      <c r="M27" s="17">
        <f t="shared" si="2"/>
        <v>10</v>
      </c>
      <c r="N27" s="13"/>
      <c r="O27" s="13"/>
      <c r="P27" s="18" t="str">
        <f t="shared" si="3"/>
        <v/>
      </c>
      <c r="Q27" s="13"/>
      <c r="R27" s="13"/>
      <c r="S27" s="18" t="str">
        <f t="shared" si="4"/>
        <v/>
      </c>
      <c r="T27" s="13"/>
      <c r="U27" s="13"/>
      <c r="V27" s="13"/>
      <c r="W27" s="14" t="str">
        <f t="shared" si="5"/>
        <v/>
      </c>
      <c r="X27" s="13"/>
      <c r="Y27" s="13"/>
      <c r="Z27" s="13"/>
    </row>
    <row r="28" ht="15.75" customHeight="1">
      <c r="A28" s="14" t="str">
        <f t="shared" si="1"/>
        <v>SL-24</v>
      </c>
      <c r="B28" s="21">
        <v>46090.0</v>
      </c>
      <c r="C28" s="22" t="s">
        <v>28</v>
      </c>
      <c r="D28" s="22" t="s">
        <v>21</v>
      </c>
      <c r="E28" s="22" t="s">
        <v>77</v>
      </c>
      <c r="F28" s="22" t="s">
        <v>19</v>
      </c>
      <c r="G28" s="22" t="s">
        <v>45</v>
      </c>
      <c r="H28" s="22" t="s">
        <v>31</v>
      </c>
      <c r="I28" s="22" t="s">
        <v>62</v>
      </c>
      <c r="J28" s="23">
        <v>0.7083333333333334</v>
      </c>
      <c r="K28" s="23">
        <v>0.7152777777777778</v>
      </c>
      <c r="L28" s="22">
        <v>10.0</v>
      </c>
      <c r="M28" s="17">
        <f t="shared" si="2"/>
        <v>10</v>
      </c>
      <c r="N28" s="13"/>
      <c r="O28" s="13"/>
      <c r="P28" s="18" t="str">
        <f t="shared" si="3"/>
        <v/>
      </c>
      <c r="Q28" s="13"/>
      <c r="R28" s="13"/>
      <c r="S28" s="18" t="str">
        <f t="shared" si="4"/>
        <v/>
      </c>
      <c r="T28" s="12" t="s">
        <v>31</v>
      </c>
      <c r="U28" s="12">
        <v>10.0</v>
      </c>
      <c r="V28" s="12">
        <v>1.0</v>
      </c>
      <c r="W28" s="14" t="str">
        <f t="shared" si="5"/>
        <v>Win</v>
      </c>
      <c r="X28" s="12"/>
      <c r="Y28" s="13"/>
      <c r="Z28" s="13"/>
    </row>
    <row r="29" ht="15.75" customHeight="1">
      <c r="A29" s="14" t="str">
        <f t="shared" si="1"/>
        <v>SL-25</v>
      </c>
      <c r="B29" s="21">
        <v>46090.0</v>
      </c>
      <c r="C29" s="22" t="s">
        <v>28</v>
      </c>
      <c r="D29" s="22" t="s">
        <v>21</v>
      </c>
      <c r="E29" s="22" t="s">
        <v>77</v>
      </c>
      <c r="F29" s="22" t="s">
        <v>19</v>
      </c>
      <c r="G29" s="22" t="s">
        <v>45</v>
      </c>
      <c r="H29" s="22" t="s">
        <v>31</v>
      </c>
      <c r="I29" s="22" t="s">
        <v>70</v>
      </c>
      <c r="J29" s="23">
        <v>0.7152777777777778</v>
      </c>
      <c r="K29" s="23">
        <v>0.7222222222222222</v>
      </c>
      <c r="L29" s="22">
        <v>10.0</v>
      </c>
      <c r="M29" s="17">
        <f t="shared" si="2"/>
        <v>10</v>
      </c>
      <c r="N29" s="13"/>
      <c r="O29" s="13"/>
      <c r="P29" s="18" t="str">
        <f t="shared" si="3"/>
        <v/>
      </c>
      <c r="Q29" s="13"/>
      <c r="R29" s="13"/>
      <c r="S29" s="18" t="str">
        <f t="shared" si="4"/>
        <v/>
      </c>
      <c r="T29" s="12" t="s">
        <v>31</v>
      </c>
      <c r="U29" s="12">
        <v>10.0</v>
      </c>
      <c r="V29" s="12">
        <v>2.0</v>
      </c>
      <c r="W29" s="14" t="str">
        <f t="shared" si="5"/>
        <v>Win</v>
      </c>
      <c r="X29" s="13"/>
      <c r="Y29" s="13"/>
      <c r="Z29" s="13"/>
    </row>
    <row r="30" ht="15.75" customHeight="1">
      <c r="A30" s="14" t="str">
        <f t="shared" si="1"/>
        <v>SL-26</v>
      </c>
      <c r="B30" s="21">
        <v>46090.0</v>
      </c>
      <c r="C30" s="22" t="s">
        <v>28</v>
      </c>
      <c r="D30" s="22" t="s">
        <v>21</v>
      </c>
      <c r="E30" s="22" t="s">
        <v>77</v>
      </c>
      <c r="F30" s="22" t="s">
        <v>19</v>
      </c>
      <c r="G30" s="22" t="s">
        <v>45</v>
      </c>
      <c r="H30" s="22" t="s">
        <v>31</v>
      </c>
      <c r="I30" s="22" t="s">
        <v>81</v>
      </c>
      <c r="J30" s="23">
        <v>0.7152777777777778</v>
      </c>
      <c r="K30" s="23">
        <v>0.7222222222222222</v>
      </c>
      <c r="L30" s="22">
        <v>10.0</v>
      </c>
      <c r="M30" s="17">
        <f t="shared" si="2"/>
        <v>10</v>
      </c>
      <c r="N30" s="13"/>
      <c r="O30" s="13"/>
      <c r="P30" s="18" t="str">
        <f t="shared" si="3"/>
        <v/>
      </c>
      <c r="Q30" s="13"/>
      <c r="R30" s="13"/>
      <c r="S30" s="18" t="str">
        <f t="shared" si="4"/>
        <v/>
      </c>
      <c r="T30" s="12" t="s">
        <v>31</v>
      </c>
      <c r="U30" s="12">
        <v>8.0</v>
      </c>
      <c r="V30" s="12">
        <v>10.0</v>
      </c>
      <c r="W30" s="14" t="str">
        <f t="shared" si="5"/>
        <v>Loss</v>
      </c>
      <c r="X30" s="13"/>
      <c r="Y30" s="13"/>
      <c r="Z30" s="13"/>
    </row>
    <row r="31" ht="15.75" customHeight="1">
      <c r="A31" s="14" t="str">
        <f t="shared" si="1"/>
        <v>SL-27</v>
      </c>
      <c r="B31" s="21">
        <v>46090.0</v>
      </c>
      <c r="C31" s="22" t="s">
        <v>28</v>
      </c>
      <c r="D31" s="22" t="s">
        <v>21</v>
      </c>
      <c r="E31" s="22" t="s">
        <v>77</v>
      </c>
      <c r="F31" s="22" t="s">
        <v>19</v>
      </c>
      <c r="G31" s="22" t="s">
        <v>45</v>
      </c>
      <c r="H31" s="22" t="s">
        <v>31</v>
      </c>
      <c r="I31" s="22" t="s">
        <v>81</v>
      </c>
      <c r="J31" s="23">
        <v>0.7152777777777778</v>
      </c>
      <c r="K31" s="23">
        <v>0.7222222222222222</v>
      </c>
      <c r="L31" s="22">
        <v>10.0</v>
      </c>
      <c r="M31" s="17">
        <f t="shared" si="2"/>
        <v>10</v>
      </c>
      <c r="N31" s="13"/>
      <c r="O31" s="13"/>
      <c r="P31" s="18" t="str">
        <f t="shared" si="3"/>
        <v/>
      </c>
      <c r="Q31" s="13"/>
      <c r="R31" s="13"/>
      <c r="S31" s="18" t="str">
        <f t="shared" si="4"/>
        <v/>
      </c>
      <c r="T31" s="12" t="s">
        <v>31</v>
      </c>
      <c r="U31" s="12">
        <v>6.0</v>
      </c>
      <c r="V31" s="12">
        <v>10.0</v>
      </c>
      <c r="W31" s="14" t="str">
        <f t="shared" si="5"/>
        <v>Loss</v>
      </c>
      <c r="X31" s="13"/>
      <c r="Y31" s="13"/>
      <c r="Z31" s="13"/>
    </row>
    <row r="32" ht="15.75" customHeight="1">
      <c r="A32" s="14" t="str">
        <f t="shared" si="1"/>
        <v>SL-28</v>
      </c>
      <c r="B32" s="21">
        <v>46090.0</v>
      </c>
      <c r="C32" s="22" t="s">
        <v>28</v>
      </c>
      <c r="D32" s="22" t="s">
        <v>21</v>
      </c>
      <c r="E32" s="22" t="s">
        <v>81</v>
      </c>
      <c r="F32" s="22" t="s">
        <v>19</v>
      </c>
      <c r="G32" s="22" t="s">
        <v>45</v>
      </c>
      <c r="H32" s="22" t="s">
        <v>31</v>
      </c>
      <c r="I32" s="22" t="s">
        <v>77</v>
      </c>
      <c r="J32" s="23">
        <v>0.7152777777777778</v>
      </c>
      <c r="K32" s="23">
        <v>0.7222222222222222</v>
      </c>
      <c r="L32" s="22">
        <v>10.0</v>
      </c>
      <c r="M32" s="17">
        <f t="shared" si="2"/>
        <v>10</v>
      </c>
      <c r="N32" s="13"/>
      <c r="O32" s="13"/>
      <c r="P32" s="18" t="str">
        <f t="shared" si="3"/>
        <v/>
      </c>
      <c r="Q32" s="13"/>
      <c r="R32" s="13"/>
      <c r="S32" s="18" t="str">
        <f t="shared" si="4"/>
        <v/>
      </c>
      <c r="T32" s="12" t="s">
        <v>31</v>
      </c>
      <c r="U32" s="12">
        <v>10.0</v>
      </c>
      <c r="V32" s="12">
        <v>8.0</v>
      </c>
      <c r="W32" s="14" t="str">
        <f t="shared" si="5"/>
        <v>Win</v>
      </c>
      <c r="X32" s="13"/>
      <c r="Y32" s="13"/>
      <c r="Z32" s="13"/>
    </row>
    <row r="33" ht="15.75" customHeight="1">
      <c r="A33" s="14" t="str">
        <f t="shared" si="1"/>
        <v>SL-29</v>
      </c>
      <c r="B33" s="21">
        <v>46090.0</v>
      </c>
      <c r="C33" s="22" t="s">
        <v>28</v>
      </c>
      <c r="D33" s="22" t="s">
        <v>21</v>
      </c>
      <c r="E33" s="22" t="s">
        <v>81</v>
      </c>
      <c r="F33" s="22" t="s">
        <v>19</v>
      </c>
      <c r="G33" s="22" t="s">
        <v>45</v>
      </c>
      <c r="H33" s="22" t="s">
        <v>31</v>
      </c>
      <c r="I33" s="22" t="s">
        <v>77</v>
      </c>
      <c r="J33" s="23">
        <v>0.7152777777777778</v>
      </c>
      <c r="K33" s="23">
        <v>0.7222222222222222</v>
      </c>
      <c r="L33" s="22">
        <v>10.0</v>
      </c>
      <c r="M33" s="17">
        <f t="shared" si="2"/>
        <v>10</v>
      </c>
      <c r="N33" s="13"/>
      <c r="O33" s="13"/>
      <c r="P33" s="18" t="str">
        <f t="shared" si="3"/>
        <v/>
      </c>
      <c r="Q33" s="13"/>
      <c r="R33" s="13"/>
      <c r="S33" s="18" t="str">
        <f t="shared" si="4"/>
        <v/>
      </c>
      <c r="T33" s="12" t="s">
        <v>31</v>
      </c>
      <c r="U33" s="12">
        <v>10.0</v>
      </c>
      <c r="V33" s="12">
        <v>6.0</v>
      </c>
      <c r="W33" s="14" t="str">
        <f t="shared" si="5"/>
        <v>Win</v>
      </c>
      <c r="X33" s="13"/>
      <c r="Y33" s="13"/>
      <c r="Z33" s="13"/>
    </row>
    <row r="34" ht="15.75" customHeight="1">
      <c r="A34" s="14" t="str">
        <f t="shared" si="1"/>
        <v>SL-30</v>
      </c>
      <c r="B34" s="21">
        <v>46090.0</v>
      </c>
      <c r="C34" s="22" t="s">
        <v>28</v>
      </c>
      <c r="D34" s="22" t="s">
        <v>21</v>
      </c>
      <c r="E34" s="22" t="s">
        <v>62</v>
      </c>
      <c r="F34" s="22" t="s">
        <v>19</v>
      </c>
      <c r="G34" s="22" t="s">
        <v>45</v>
      </c>
      <c r="H34" s="22" t="s">
        <v>31</v>
      </c>
      <c r="I34" s="22" t="s">
        <v>70</v>
      </c>
      <c r="J34" s="23">
        <v>0.7395833333333334</v>
      </c>
      <c r="K34" s="23">
        <v>0.75</v>
      </c>
      <c r="L34" s="22">
        <v>15.0</v>
      </c>
      <c r="M34" s="17">
        <f t="shared" si="2"/>
        <v>15</v>
      </c>
      <c r="N34" s="13"/>
      <c r="O34" s="13"/>
      <c r="P34" s="18" t="str">
        <f t="shared" si="3"/>
        <v/>
      </c>
      <c r="Q34" s="13"/>
      <c r="R34" s="13"/>
      <c r="S34" s="18" t="str">
        <f t="shared" si="4"/>
        <v/>
      </c>
      <c r="T34" s="12" t="s">
        <v>31</v>
      </c>
      <c r="U34" s="12">
        <v>11.0</v>
      </c>
      <c r="V34" s="12">
        <v>12.0</v>
      </c>
      <c r="W34" s="14" t="str">
        <f t="shared" si="5"/>
        <v>Loss</v>
      </c>
      <c r="X34" s="13"/>
      <c r="Y34" s="13"/>
      <c r="Z34" s="13"/>
    </row>
    <row r="35" ht="15.75" customHeight="1">
      <c r="A35" s="14" t="str">
        <f t="shared" si="1"/>
        <v>SL-31</v>
      </c>
      <c r="B35" s="21">
        <v>46090.0</v>
      </c>
      <c r="C35" s="22" t="s">
        <v>28</v>
      </c>
      <c r="D35" s="22" t="s">
        <v>21</v>
      </c>
      <c r="E35" s="22" t="s">
        <v>81</v>
      </c>
      <c r="F35" s="22" t="s">
        <v>19</v>
      </c>
      <c r="G35" s="22" t="s">
        <v>45</v>
      </c>
      <c r="H35" s="22" t="s">
        <v>31</v>
      </c>
      <c r="I35" s="22" t="s">
        <v>70</v>
      </c>
      <c r="J35" s="23">
        <v>0.75</v>
      </c>
      <c r="K35" s="23">
        <v>0.7708333333333334</v>
      </c>
      <c r="L35" s="22">
        <v>10.0</v>
      </c>
      <c r="M35" s="17">
        <f t="shared" si="2"/>
        <v>10</v>
      </c>
      <c r="N35" s="13"/>
      <c r="O35" s="13"/>
      <c r="P35" s="18" t="str">
        <f t="shared" si="3"/>
        <v/>
      </c>
      <c r="Q35" s="13"/>
      <c r="R35" s="13"/>
      <c r="S35" s="18" t="str">
        <f t="shared" si="4"/>
        <v/>
      </c>
      <c r="T35" s="12" t="s">
        <v>31</v>
      </c>
      <c r="U35" s="12">
        <v>8.0</v>
      </c>
      <c r="V35" s="12">
        <v>10.0</v>
      </c>
      <c r="W35" s="14" t="str">
        <f t="shared" si="5"/>
        <v>Loss</v>
      </c>
      <c r="X35" s="13"/>
      <c r="Y35" s="13"/>
      <c r="Z35" s="13"/>
    </row>
    <row r="36" ht="15.75" customHeight="1">
      <c r="A36" s="14" t="str">
        <f t="shared" si="1"/>
        <v>SL-32</v>
      </c>
      <c r="B36" s="21">
        <v>46090.0</v>
      </c>
      <c r="C36" s="22" t="s">
        <v>28</v>
      </c>
      <c r="D36" s="22" t="s">
        <v>21</v>
      </c>
      <c r="E36" s="22" t="s">
        <v>70</v>
      </c>
      <c r="F36" s="22" t="s">
        <v>19</v>
      </c>
      <c r="G36" s="22" t="s">
        <v>45</v>
      </c>
      <c r="H36" s="22" t="s">
        <v>31</v>
      </c>
      <c r="I36" s="22" t="s">
        <v>62</v>
      </c>
      <c r="J36" s="23">
        <v>0.7395833333333334</v>
      </c>
      <c r="K36" s="23">
        <v>0.75</v>
      </c>
      <c r="L36" s="22">
        <v>15.0</v>
      </c>
      <c r="M36" s="17">
        <f t="shared" si="2"/>
        <v>15</v>
      </c>
      <c r="N36" s="13"/>
      <c r="O36" s="13"/>
      <c r="P36" s="18" t="str">
        <f t="shared" si="3"/>
        <v/>
      </c>
      <c r="Q36" s="13"/>
      <c r="R36" s="13"/>
      <c r="S36" s="18" t="str">
        <f t="shared" si="4"/>
        <v/>
      </c>
      <c r="T36" s="12" t="s">
        <v>31</v>
      </c>
      <c r="U36" s="12">
        <v>12.0</v>
      </c>
      <c r="V36" s="12">
        <v>11.0</v>
      </c>
      <c r="W36" s="14" t="str">
        <f t="shared" si="5"/>
        <v>Win</v>
      </c>
      <c r="X36" s="13"/>
      <c r="Y36" s="13"/>
      <c r="Z36" s="13"/>
    </row>
    <row r="37" ht="15.75" customHeight="1">
      <c r="A37" s="14" t="str">
        <f t="shared" si="1"/>
        <v>SL-33</v>
      </c>
      <c r="B37" s="21">
        <v>46090.0</v>
      </c>
      <c r="C37" s="22" t="s">
        <v>28</v>
      </c>
      <c r="D37" s="22" t="s">
        <v>21</v>
      </c>
      <c r="E37" s="22" t="s">
        <v>70</v>
      </c>
      <c r="F37" s="22" t="s">
        <v>19</v>
      </c>
      <c r="G37" s="22" t="s">
        <v>45</v>
      </c>
      <c r="H37" s="22" t="s">
        <v>31</v>
      </c>
      <c r="I37" s="22" t="s">
        <v>81</v>
      </c>
      <c r="J37" s="25">
        <v>0.7604166666666666</v>
      </c>
      <c r="K37" s="23">
        <v>0.7708333333333334</v>
      </c>
      <c r="L37" s="22">
        <v>15.0</v>
      </c>
      <c r="M37" s="17">
        <f t="shared" si="2"/>
        <v>15</v>
      </c>
      <c r="N37" s="13"/>
      <c r="O37" s="13"/>
      <c r="P37" s="18" t="str">
        <f t="shared" si="3"/>
        <v/>
      </c>
      <c r="Q37" s="13"/>
      <c r="R37" s="13"/>
      <c r="S37" s="18" t="str">
        <f t="shared" si="4"/>
        <v/>
      </c>
      <c r="T37" s="12" t="s">
        <v>31</v>
      </c>
      <c r="U37" s="12">
        <v>10.0</v>
      </c>
      <c r="V37" s="12">
        <v>8.0</v>
      </c>
      <c r="W37" s="14" t="str">
        <f t="shared" si="5"/>
        <v>Win</v>
      </c>
      <c r="X37" s="13"/>
      <c r="Y37" s="13"/>
      <c r="Z37" s="13"/>
    </row>
    <row r="38" ht="15.75" customHeight="1">
      <c r="A38" s="14" t="str">
        <f t="shared" si="1"/>
        <v>SL-34</v>
      </c>
      <c r="B38" s="21">
        <v>46090.0</v>
      </c>
      <c r="C38" s="22" t="s">
        <v>28</v>
      </c>
      <c r="D38" s="22" t="s">
        <v>21</v>
      </c>
      <c r="E38" s="22" t="s">
        <v>62</v>
      </c>
      <c r="F38" s="22" t="s">
        <v>19</v>
      </c>
      <c r="G38" s="22" t="s">
        <v>45</v>
      </c>
      <c r="H38" s="22" t="s">
        <v>31</v>
      </c>
      <c r="I38" s="22" t="s">
        <v>85</v>
      </c>
      <c r="J38" s="23">
        <v>0.7395833333333334</v>
      </c>
      <c r="K38" s="23">
        <v>0.75</v>
      </c>
      <c r="L38" s="22">
        <v>15.0</v>
      </c>
      <c r="M38" s="17">
        <f t="shared" si="2"/>
        <v>15</v>
      </c>
      <c r="N38" s="13"/>
      <c r="O38" s="13"/>
      <c r="P38" s="18" t="str">
        <f t="shared" si="3"/>
        <v/>
      </c>
      <c r="Q38" s="13"/>
      <c r="R38" s="13"/>
      <c r="S38" s="18" t="str">
        <f t="shared" si="4"/>
        <v/>
      </c>
      <c r="T38" s="12" t="s">
        <v>31</v>
      </c>
      <c r="U38" s="12">
        <v>10.0</v>
      </c>
      <c r="V38" s="12">
        <v>6.0</v>
      </c>
      <c r="W38" s="14" t="str">
        <f t="shared" si="5"/>
        <v>Win</v>
      </c>
      <c r="X38" s="13"/>
      <c r="Y38" s="13"/>
      <c r="Z38" s="13"/>
    </row>
    <row r="39" ht="15.75" customHeight="1">
      <c r="A39" s="14" t="str">
        <f t="shared" si="1"/>
        <v>SL-35</v>
      </c>
      <c r="B39" s="21">
        <v>46090.0</v>
      </c>
      <c r="C39" s="22" t="s">
        <v>28</v>
      </c>
      <c r="D39" s="22" t="s">
        <v>21</v>
      </c>
      <c r="E39" s="22" t="s">
        <v>62</v>
      </c>
      <c r="F39" s="22" t="s">
        <v>19</v>
      </c>
      <c r="G39" s="22" t="s">
        <v>45</v>
      </c>
      <c r="H39" s="22" t="s">
        <v>31</v>
      </c>
      <c r="I39" s="22" t="s">
        <v>85</v>
      </c>
      <c r="J39" s="23">
        <v>0.75</v>
      </c>
      <c r="K39" s="23">
        <v>0.7604166666666666</v>
      </c>
      <c r="L39" s="22">
        <v>15.0</v>
      </c>
      <c r="M39" s="17">
        <f t="shared" si="2"/>
        <v>15</v>
      </c>
      <c r="N39" s="13"/>
      <c r="O39" s="13"/>
      <c r="P39" s="18" t="str">
        <f t="shared" si="3"/>
        <v/>
      </c>
      <c r="Q39" s="13"/>
      <c r="R39" s="13"/>
      <c r="S39" s="18" t="str">
        <f t="shared" si="4"/>
        <v/>
      </c>
      <c r="T39" s="12" t="s">
        <v>31</v>
      </c>
      <c r="U39" s="12">
        <v>10.0</v>
      </c>
      <c r="V39" s="12">
        <v>8.0</v>
      </c>
      <c r="W39" s="14" t="str">
        <f t="shared" si="5"/>
        <v>Win</v>
      </c>
      <c r="X39" s="13"/>
      <c r="Y39" s="13"/>
      <c r="Z39" s="13"/>
    </row>
    <row r="40" ht="15.75" customHeight="1">
      <c r="A40" s="14" t="str">
        <f t="shared" si="1"/>
        <v>SL-36</v>
      </c>
      <c r="B40" s="21">
        <v>46090.0</v>
      </c>
      <c r="C40" s="22" t="s">
        <v>28</v>
      </c>
      <c r="D40" s="22" t="s">
        <v>21</v>
      </c>
      <c r="E40" s="22" t="s">
        <v>85</v>
      </c>
      <c r="F40" s="22" t="s">
        <v>19</v>
      </c>
      <c r="G40" s="22" t="s">
        <v>45</v>
      </c>
      <c r="H40" s="22" t="s">
        <v>31</v>
      </c>
      <c r="I40" s="22" t="s">
        <v>62</v>
      </c>
      <c r="J40" s="23">
        <v>0.7395833333333334</v>
      </c>
      <c r="K40" s="23">
        <v>0.75</v>
      </c>
      <c r="L40" s="22">
        <v>15.0</v>
      </c>
      <c r="M40" s="17">
        <f t="shared" si="2"/>
        <v>15</v>
      </c>
      <c r="N40" s="13"/>
      <c r="O40" s="13"/>
      <c r="P40" s="18" t="str">
        <f t="shared" si="3"/>
        <v/>
      </c>
      <c r="Q40" s="13"/>
      <c r="R40" s="13"/>
      <c r="S40" s="18" t="str">
        <f t="shared" si="4"/>
        <v/>
      </c>
      <c r="T40" s="12" t="s">
        <v>31</v>
      </c>
      <c r="U40" s="12">
        <v>6.0</v>
      </c>
      <c r="V40" s="12">
        <v>10.0</v>
      </c>
      <c r="W40" s="14" t="str">
        <f t="shared" si="5"/>
        <v>Loss</v>
      </c>
      <c r="X40" s="13"/>
      <c r="Y40" s="13"/>
      <c r="Z40" s="13"/>
    </row>
    <row r="41" ht="15.75" customHeight="1">
      <c r="A41" s="14" t="str">
        <f t="shared" ref="A41:A104" si="6">IF(E40="","","SL-"&amp;(ROW()-4))</f>
        <v>SL-37</v>
      </c>
      <c r="B41" s="21">
        <v>46090.0</v>
      </c>
      <c r="C41" s="22" t="s">
        <v>28</v>
      </c>
      <c r="D41" s="22" t="s">
        <v>21</v>
      </c>
      <c r="E41" s="22" t="s">
        <v>85</v>
      </c>
      <c r="F41" s="22" t="s">
        <v>19</v>
      </c>
      <c r="G41" s="22" t="s">
        <v>45</v>
      </c>
      <c r="H41" s="22" t="s">
        <v>31</v>
      </c>
      <c r="I41" s="22" t="s">
        <v>62</v>
      </c>
      <c r="J41" s="23">
        <v>0.75</v>
      </c>
      <c r="K41" s="23">
        <v>0.7604166666666666</v>
      </c>
      <c r="L41" s="22">
        <v>15.0</v>
      </c>
      <c r="M41" s="17">
        <f t="shared" si="2"/>
        <v>15</v>
      </c>
      <c r="N41" s="13"/>
      <c r="O41" s="13"/>
      <c r="P41" s="18" t="str">
        <f t="shared" si="3"/>
        <v/>
      </c>
      <c r="Q41" s="13"/>
      <c r="R41" s="13"/>
      <c r="S41" s="18" t="str">
        <f t="shared" si="4"/>
        <v/>
      </c>
      <c r="T41" s="12" t="s">
        <v>31</v>
      </c>
      <c r="U41" s="12">
        <v>8.0</v>
      </c>
      <c r="V41" s="12">
        <v>10.0</v>
      </c>
      <c r="W41" s="14" t="str">
        <f t="shared" si="5"/>
        <v>Loss</v>
      </c>
      <c r="X41" s="13"/>
      <c r="Y41" s="13"/>
      <c r="Z41" s="13"/>
    </row>
    <row r="42" ht="15.75" customHeight="1">
      <c r="A42" s="14" t="str">
        <f t="shared" si="6"/>
        <v>SL-38</v>
      </c>
      <c r="B42" s="21">
        <v>46091.0</v>
      </c>
      <c r="C42" s="22" t="s">
        <v>11</v>
      </c>
      <c r="D42" s="22" t="s">
        <v>21</v>
      </c>
      <c r="E42" s="22" t="s">
        <v>62</v>
      </c>
      <c r="F42" s="22" t="s">
        <v>19</v>
      </c>
      <c r="G42" s="22" t="s">
        <v>13</v>
      </c>
      <c r="H42" s="22" t="s">
        <v>125</v>
      </c>
      <c r="I42" s="22" t="s">
        <v>89</v>
      </c>
      <c r="J42" s="25">
        <v>0.2708333333333333</v>
      </c>
      <c r="K42" s="25">
        <v>0.3020833333333333</v>
      </c>
      <c r="L42" s="22">
        <v>45.0</v>
      </c>
      <c r="M42" s="17">
        <f t="shared" si="2"/>
        <v>45</v>
      </c>
      <c r="N42" s="13"/>
      <c r="O42" s="13"/>
      <c r="P42" s="18" t="str">
        <f t="shared" si="3"/>
        <v/>
      </c>
      <c r="Q42" s="13"/>
      <c r="R42" s="13"/>
      <c r="S42" s="18" t="str">
        <f t="shared" si="4"/>
        <v/>
      </c>
      <c r="T42" s="13"/>
      <c r="U42" s="13"/>
      <c r="V42" s="13"/>
      <c r="W42" s="14" t="str">
        <f t="shared" si="5"/>
        <v/>
      </c>
      <c r="X42" s="13"/>
      <c r="Y42" s="13"/>
      <c r="Z42" s="13"/>
    </row>
    <row r="43" ht="15.75" customHeight="1">
      <c r="A43" s="14" t="str">
        <f t="shared" si="6"/>
        <v>SL-39</v>
      </c>
      <c r="B43" s="21">
        <v>46091.0</v>
      </c>
      <c r="C43" s="22" t="s">
        <v>11</v>
      </c>
      <c r="D43" s="22" t="s">
        <v>21</v>
      </c>
      <c r="E43" s="22" t="s">
        <v>62</v>
      </c>
      <c r="F43" s="22" t="s">
        <v>19</v>
      </c>
      <c r="G43" s="22" t="s">
        <v>45</v>
      </c>
      <c r="H43" s="22" t="s">
        <v>140</v>
      </c>
      <c r="I43" s="22" t="s">
        <v>141</v>
      </c>
      <c r="J43" s="25">
        <v>0.3020833333333333</v>
      </c>
      <c r="K43" s="25">
        <v>0.34375</v>
      </c>
      <c r="L43" s="22">
        <v>60.0</v>
      </c>
      <c r="M43" s="17">
        <f t="shared" si="2"/>
        <v>60</v>
      </c>
      <c r="N43" s="13"/>
      <c r="O43" s="13"/>
      <c r="P43" s="18" t="str">
        <f t="shared" si="3"/>
        <v/>
      </c>
      <c r="Q43" s="13"/>
      <c r="R43" s="13"/>
      <c r="S43" s="18" t="str">
        <f t="shared" si="4"/>
        <v/>
      </c>
      <c r="T43" s="12" t="s">
        <v>36</v>
      </c>
      <c r="U43" s="12">
        <v>4.0</v>
      </c>
      <c r="V43" s="12">
        <v>6.0</v>
      </c>
      <c r="W43" s="14" t="str">
        <f t="shared" si="5"/>
        <v>Loss</v>
      </c>
      <c r="X43" s="13"/>
      <c r="Y43" s="13"/>
      <c r="Z43" s="13"/>
    </row>
    <row r="44" ht="15.75" customHeight="1">
      <c r="A44" s="14" t="str">
        <f t="shared" si="6"/>
        <v>SL-40</v>
      </c>
      <c r="B44" s="21">
        <v>46091.0</v>
      </c>
      <c r="C44" s="22" t="s">
        <v>11</v>
      </c>
      <c r="D44" s="22" t="s">
        <v>21</v>
      </c>
      <c r="E44" s="22" t="s">
        <v>62</v>
      </c>
      <c r="F44" s="22" t="s">
        <v>19</v>
      </c>
      <c r="G44" s="22" t="s">
        <v>45</v>
      </c>
      <c r="H44" s="22" t="s">
        <v>140</v>
      </c>
      <c r="I44" s="22" t="s">
        <v>142</v>
      </c>
      <c r="J44" s="25">
        <v>0.3541666666666667</v>
      </c>
      <c r="K44" s="25">
        <v>0.3645833333333333</v>
      </c>
      <c r="L44" s="22">
        <v>15.0</v>
      </c>
      <c r="M44" s="17">
        <f t="shared" si="2"/>
        <v>15</v>
      </c>
      <c r="N44" s="13"/>
      <c r="O44" s="13"/>
      <c r="P44" s="18" t="str">
        <f t="shared" si="3"/>
        <v/>
      </c>
      <c r="Q44" s="13"/>
      <c r="R44" s="13"/>
      <c r="S44" s="18" t="str">
        <f t="shared" si="4"/>
        <v/>
      </c>
      <c r="T44" s="12" t="s">
        <v>31</v>
      </c>
      <c r="U44" s="12">
        <v>9.0</v>
      </c>
      <c r="V44" s="12">
        <v>11.0</v>
      </c>
      <c r="W44" s="14" t="str">
        <f t="shared" si="5"/>
        <v>Loss</v>
      </c>
      <c r="X44" s="13"/>
      <c r="Y44" s="13"/>
      <c r="Z44" s="13"/>
    </row>
    <row r="45" ht="15.75" customHeight="1">
      <c r="A45" s="14" t="str">
        <f t="shared" si="6"/>
        <v>SL-41</v>
      </c>
      <c r="B45" s="21">
        <v>46091.0</v>
      </c>
      <c r="C45" s="22" t="s">
        <v>11</v>
      </c>
      <c r="D45" s="22" t="s">
        <v>21</v>
      </c>
      <c r="E45" s="22" t="s">
        <v>62</v>
      </c>
      <c r="F45" s="22" t="s">
        <v>19</v>
      </c>
      <c r="G45" s="22" t="s">
        <v>45</v>
      </c>
      <c r="H45" s="22" t="s">
        <v>140</v>
      </c>
      <c r="I45" s="22" t="s">
        <v>143</v>
      </c>
      <c r="J45" s="25">
        <v>0.375</v>
      </c>
      <c r="K45" s="25">
        <v>0.3958333333333333</v>
      </c>
      <c r="L45" s="22">
        <v>45.0</v>
      </c>
      <c r="M45" s="17">
        <f t="shared" si="2"/>
        <v>45</v>
      </c>
      <c r="N45" s="13"/>
      <c r="O45" s="13"/>
      <c r="P45" s="18" t="str">
        <f t="shared" si="3"/>
        <v/>
      </c>
      <c r="Q45" s="13"/>
      <c r="R45" s="13"/>
      <c r="S45" s="18" t="str">
        <f t="shared" si="4"/>
        <v/>
      </c>
      <c r="T45" s="12" t="s">
        <v>36</v>
      </c>
      <c r="U45" s="12">
        <v>6.0</v>
      </c>
      <c r="V45" s="12">
        <v>2.0</v>
      </c>
      <c r="W45" s="14" t="str">
        <f t="shared" si="5"/>
        <v>Win</v>
      </c>
      <c r="X45" s="13"/>
      <c r="Y45" s="13"/>
      <c r="Z45" s="13"/>
    </row>
    <row r="46" ht="15.75" customHeight="1">
      <c r="A46" s="14" t="str">
        <f t="shared" si="6"/>
        <v>SL-42</v>
      </c>
      <c r="B46" s="21">
        <v>46091.0</v>
      </c>
      <c r="C46" s="22" t="s">
        <v>11</v>
      </c>
      <c r="D46" s="22" t="s">
        <v>21</v>
      </c>
      <c r="E46" s="22" t="s">
        <v>62</v>
      </c>
      <c r="F46" s="22" t="s">
        <v>19</v>
      </c>
      <c r="G46" s="22" t="s">
        <v>30</v>
      </c>
      <c r="H46" s="22" t="s">
        <v>144</v>
      </c>
      <c r="I46" s="24"/>
      <c r="J46" s="25">
        <v>0.25</v>
      </c>
      <c r="K46" s="25">
        <v>0.2708333333333333</v>
      </c>
      <c r="L46" s="22">
        <v>30.0</v>
      </c>
      <c r="M46" s="17">
        <f t="shared" si="2"/>
        <v>30</v>
      </c>
      <c r="N46" s="13"/>
      <c r="O46" s="13"/>
      <c r="P46" s="18" t="str">
        <f t="shared" si="3"/>
        <v/>
      </c>
      <c r="Q46" s="13"/>
      <c r="R46" s="13"/>
      <c r="S46" s="18" t="str">
        <f t="shared" si="4"/>
        <v/>
      </c>
      <c r="T46" s="13"/>
      <c r="U46" s="13"/>
      <c r="V46" s="13"/>
      <c r="W46" s="14" t="str">
        <f t="shared" si="5"/>
        <v/>
      </c>
      <c r="X46" s="13"/>
      <c r="Y46" s="13"/>
      <c r="Z46" s="13"/>
    </row>
    <row r="47" ht="15.75" customHeight="1">
      <c r="A47" s="14" t="str">
        <f t="shared" si="6"/>
        <v>SL-43</v>
      </c>
      <c r="B47" s="21">
        <v>46091.0</v>
      </c>
      <c r="C47" s="22" t="s">
        <v>11</v>
      </c>
      <c r="D47" s="22" t="s">
        <v>21</v>
      </c>
      <c r="E47" s="22" t="s">
        <v>66</v>
      </c>
      <c r="F47" s="22" t="s">
        <v>19</v>
      </c>
      <c r="G47" s="22" t="s">
        <v>30</v>
      </c>
      <c r="H47" s="22" t="s">
        <v>144</v>
      </c>
      <c r="I47" s="24"/>
      <c r="J47" s="25">
        <v>0.25</v>
      </c>
      <c r="K47" s="25">
        <v>0.2708333333333333</v>
      </c>
      <c r="L47" s="22">
        <v>30.0</v>
      </c>
      <c r="M47" s="17">
        <f t="shared" si="2"/>
        <v>30</v>
      </c>
      <c r="N47" s="13"/>
      <c r="O47" s="13"/>
      <c r="P47" s="18" t="str">
        <f t="shared" si="3"/>
        <v/>
      </c>
      <c r="Q47" s="13"/>
      <c r="R47" s="13"/>
      <c r="S47" s="18" t="str">
        <f t="shared" si="4"/>
        <v/>
      </c>
      <c r="T47" s="13"/>
      <c r="U47" s="13"/>
      <c r="V47" s="13"/>
      <c r="W47" s="14" t="str">
        <f t="shared" si="5"/>
        <v/>
      </c>
      <c r="X47" s="13"/>
      <c r="Y47" s="13"/>
      <c r="Z47" s="13"/>
    </row>
    <row r="48" ht="15.75" customHeight="1">
      <c r="A48" s="14" t="str">
        <f t="shared" si="6"/>
        <v>SL-44</v>
      </c>
      <c r="B48" s="21">
        <v>46091.0</v>
      </c>
      <c r="C48" s="22" t="s">
        <v>11</v>
      </c>
      <c r="D48" s="22" t="s">
        <v>21</v>
      </c>
      <c r="E48" s="22" t="s">
        <v>81</v>
      </c>
      <c r="F48" s="22" t="s">
        <v>19</v>
      </c>
      <c r="G48" s="22" t="s">
        <v>30</v>
      </c>
      <c r="H48" s="22" t="s">
        <v>145</v>
      </c>
      <c r="I48" s="24"/>
      <c r="J48" s="25">
        <v>0.25</v>
      </c>
      <c r="K48" s="25">
        <v>0.2604166666666667</v>
      </c>
      <c r="L48" s="22">
        <v>15.0</v>
      </c>
      <c r="M48" s="17">
        <f t="shared" si="2"/>
        <v>15</v>
      </c>
      <c r="N48" s="13"/>
      <c r="O48" s="13"/>
      <c r="P48" s="18" t="str">
        <f t="shared" si="3"/>
        <v/>
      </c>
      <c r="Q48" s="13"/>
      <c r="R48" s="13"/>
      <c r="S48" s="18" t="str">
        <f t="shared" si="4"/>
        <v/>
      </c>
      <c r="T48" s="13"/>
      <c r="U48" s="13"/>
      <c r="V48" s="13"/>
      <c r="W48" s="14" t="str">
        <f t="shared" si="5"/>
        <v/>
      </c>
      <c r="X48" s="13"/>
      <c r="Y48" s="13"/>
      <c r="Z48" s="13"/>
    </row>
    <row r="49" ht="15.75" customHeight="1">
      <c r="A49" s="14" t="str">
        <f t="shared" si="6"/>
        <v>SL-45</v>
      </c>
      <c r="B49" s="21">
        <v>46091.0</v>
      </c>
      <c r="C49" s="22" t="s">
        <v>11</v>
      </c>
      <c r="D49" s="22" t="s">
        <v>21</v>
      </c>
      <c r="E49" s="22" t="s">
        <v>81</v>
      </c>
      <c r="F49" s="22" t="s">
        <v>19</v>
      </c>
      <c r="G49" s="22" t="s">
        <v>30</v>
      </c>
      <c r="H49" s="22" t="s">
        <v>144</v>
      </c>
      <c r="I49" s="24"/>
      <c r="J49" s="25">
        <v>0.2604166666666667</v>
      </c>
      <c r="K49" s="25">
        <v>0.2708333333333333</v>
      </c>
      <c r="L49" s="22">
        <v>15.0</v>
      </c>
      <c r="M49" s="17">
        <f t="shared" si="2"/>
        <v>15</v>
      </c>
      <c r="N49" s="13"/>
      <c r="O49" s="13"/>
      <c r="P49" s="18" t="str">
        <f t="shared" si="3"/>
        <v/>
      </c>
      <c r="Q49" s="13"/>
      <c r="R49" s="13"/>
      <c r="S49" s="18" t="str">
        <f t="shared" si="4"/>
        <v/>
      </c>
      <c r="T49" s="13"/>
      <c r="U49" s="13"/>
      <c r="V49" s="13"/>
      <c r="W49" s="14" t="str">
        <f t="shared" si="5"/>
        <v/>
      </c>
      <c r="X49" s="13"/>
      <c r="Y49" s="13"/>
      <c r="Z49" s="13"/>
    </row>
    <row r="50" ht="15.75" customHeight="1">
      <c r="A50" s="14" t="str">
        <f t="shared" si="6"/>
        <v>SL-46</v>
      </c>
      <c r="B50" s="21">
        <v>46091.0</v>
      </c>
      <c r="C50" s="22" t="s">
        <v>11</v>
      </c>
      <c r="D50" s="22" t="s">
        <v>21</v>
      </c>
      <c r="E50" s="22" t="s">
        <v>66</v>
      </c>
      <c r="F50" s="22" t="s">
        <v>19</v>
      </c>
      <c r="G50" s="26" t="s">
        <v>13</v>
      </c>
      <c r="H50" s="26" t="s">
        <v>125</v>
      </c>
      <c r="I50" s="26" t="s">
        <v>81</v>
      </c>
      <c r="J50" s="27">
        <v>0.2708333333333333</v>
      </c>
      <c r="K50" s="27">
        <v>0.2777777777777778</v>
      </c>
      <c r="L50" s="26">
        <v>10.0</v>
      </c>
      <c r="M50" s="17">
        <f t="shared" si="2"/>
        <v>10</v>
      </c>
      <c r="P50" s="18" t="str">
        <f t="shared" si="3"/>
        <v/>
      </c>
      <c r="S50" s="18" t="str">
        <f t="shared" si="4"/>
        <v/>
      </c>
      <c r="T50" s="1"/>
      <c r="W50" s="14" t="str">
        <f t="shared" si="5"/>
        <v/>
      </c>
      <c r="X50" s="1"/>
    </row>
    <row r="51" ht="15.75" customHeight="1">
      <c r="A51" s="14" t="str">
        <f t="shared" si="6"/>
        <v>SL-47</v>
      </c>
      <c r="B51" s="21">
        <v>46091.0</v>
      </c>
      <c r="C51" s="22" t="s">
        <v>11</v>
      </c>
      <c r="D51" s="22" t="s">
        <v>21</v>
      </c>
      <c r="E51" s="22" t="s">
        <v>81</v>
      </c>
      <c r="F51" s="22" t="s">
        <v>19</v>
      </c>
      <c r="G51" s="26" t="s">
        <v>13</v>
      </c>
      <c r="H51" s="26" t="s">
        <v>125</v>
      </c>
      <c r="I51" s="26" t="s">
        <v>66</v>
      </c>
      <c r="J51" s="27">
        <v>0.2708333333333333</v>
      </c>
      <c r="K51" s="27">
        <v>0.2777777777777778</v>
      </c>
      <c r="L51" s="26">
        <v>10.0</v>
      </c>
      <c r="M51" s="17">
        <f t="shared" si="2"/>
        <v>10</v>
      </c>
      <c r="P51" s="18" t="str">
        <f t="shared" si="3"/>
        <v/>
      </c>
      <c r="S51" s="18" t="str">
        <f t="shared" si="4"/>
        <v/>
      </c>
      <c r="T51" s="1"/>
      <c r="W51" s="14" t="str">
        <f t="shared" si="5"/>
        <v/>
      </c>
      <c r="X51" s="1"/>
    </row>
    <row r="52" ht="15.75" customHeight="1">
      <c r="A52" s="14" t="str">
        <f t="shared" si="6"/>
        <v>SL-48</v>
      </c>
      <c r="B52" s="21">
        <v>46091.0</v>
      </c>
      <c r="C52" s="22" t="s">
        <v>11</v>
      </c>
      <c r="D52" s="22" t="s">
        <v>21</v>
      </c>
      <c r="E52" s="22" t="s">
        <v>81</v>
      </c>
      <c r="F52" s="22" t="s">
        <v>19</v>
      </c>
      <c r="G52" s="26" t="s">
        <v>22</v>
      </c>
      <c r="H52" s="26" t="s">
        <v>146</v>
      </c>
      <c r="I52" s="26" t="s">
        <v>66</v>
      </c>
      <c r="J52" s="27">
        <v>0.2777777777777778</v>
      </c>
      <c r="K52" s="27">
        <v>0.2847222222222222</v>
      </c>
      <c r="L52" s="26">
        <v>10.0</v>
      </c>
      <c r="M52" s="17">
        <f t="shared" si="2"/>
        <v>10</v>
      </c>
      <c r="P52" s="18" t="str">
        <f t="shared" si="3"/>
        <v/>
      </c>
      <c r="S52" s="18" t="str">
        <f t="shared" si="4"/>
        <v/>
      </c>
      <c r="T52" s="1"/>
      <c r="W52" s="14" t="str">
        <f t="shared" si="5"/>
        <v/>
      </c>
      <c r="X52" s="1"/>
    </row>
    <row r="53" ht="15.75" customHeight="1">
      <c r="A53" s="14" t="str">
        <f t="shared" si="6"/>
        <v>SL-49</v>
      </c>
      <c r="B53" s="21">
        <v>46091.0</v>
      </c>
      <c r="C53" s="22" t="s">
        <v>11</v>
      </c>
      <c r="D53" s="22" t="s">
        <v>21</v>
      </c>
      <c r="E53" s="22" t="s">
        <v>81</v>
      </c>
      <c r="F53" s="22" t="s">
        <v>19</v>
      </c>
      <c r="G53" s="26" t="s">
        <v>22</v>
      </c>
      <c r="H53" s="26" t="s">
        <v>147</v>
      </c>
      <c r="I53" s="26" t="s">
        <v>66</v>
      </c>
      <c r="J53" s="27">
        <v>0.2847222222222222</v>
      </c>
      <c r="K53" s="27">
        <v>0.2916666666666667</v>
      </c>
      <c r="L53" s="26">
        <v>10.0</v>
      </c>
      <c r="M53" s="17">
        <f t="shared" si="2"/>
        <v>10</v>
      </c>
      <c r="P53" s="18" t="str">
        <f t="shared" si="3"/>
        <v/>
      </c>
      <c r="S53" s="18" t="str">
        <f t="shared" si="4"/>
        <v/>
      </c>
      <c r="T53" s="1"/>
      <c r="W53" s="14" t="str">
        <f t="shared" si="5"/>
        <v/>
      </c>
      <c r="X53" s="1"/>
    </row>
    <row r="54" ht="15.75" customHeight="1">
      <c r="A54" s="14" t="str">
        <f t="shared" si="6"/>
        <v>SL-50</v>
      </c>
      <c r="B54" s="21">
        <v>46091.0</v>
      </c>
      <c r="C54" s="22" t="s">
        <v>11</v>
      </c>
      <c r="D54" s="22" t="s">
        <v>21</v>
      </c>
      <c r="E54" s="22" t="s">
        <v>66</v>
      </c>
      <c r="F54" s="22" t="s">
        <v>19</v>
      </c>
      <c r="G54" s="26" t="s">
        <v>22</v>
      </c>
      <c r="H54" s="26" t="s">
        <v>147</v>
      </c>
      <c r="I54" s="26" t="s">
        <v>81</v>
      </c>
      <c r="J54" s="27">
        <v>0.2777777777777778</v>
      </c>
      <c r="K54" s="27">
        <v>0.2847222222222222</v>
      </c>
      <c r="L54" s="26">
        <v>10.0</v>
      </c>
      <c r="M54" s="17">
        <f t="shared" si="2"/>
        <v>10</v>
      </c>
      <c r="P54" s="18" t="str">
        <f t="shared" si="3"/>
        <v/>
      </c>
      <c r="S54" s="18" t="str">
        <f t="shared" si="4"/>
        <v/>
      </c>
      <c r="T54" s="1"/>
      <c r="W54" s="14" t="str">
        <f t="shared" si="5"/>
        <v/>
      </c>
      <c r="X54" s="1"/>
    </row>
    <row r="55" ht="15.75" customHeight="1">
      <c r="A55" s="14" t="str">
        <f t="shared" si="6"/>
        <v>SL-51</v>
      </c>
      <c r="B55" s="21">
        <v>46091.0</v>
      </c>
      <c r="C55" s="22" t="s">
        <v>11</v>
      </c>
      <c r="D55" s="22" t="s">
        <v>21</v>
      </c>
      <c r="E55" s="22" t="s">
        <v>66</v>
      </c>
      <c r="F55" s="22" t="s">
        <v>19</v>
      </c>
      <c r="G55" s="26" t="s">
        <v>22</v>
      </c>
      <c r="H55" s="26" t="s">
        <v>148</v>
      </c>
      <c r="I55" s="26" t="s">
        <v>81</v>
      </c>
      <c r="J55" s="27">
        <v>0.2847222222222222</v>
      </c>
      <c r="K55" s="27">
        <v>0.2916666666666667</v>
      </c>
      <c r="L55" s="26">
        <v>10.0</v>
      </c>
      <c r="M55" s="17">
        <f t="shared" si="2"/>
        <v>10</v>
      </c>
      <c r="P55" s="18" t="str">
        <f t="shared" si="3"/>
        <v/>
      </c>
      <c r="S55" s="18" t="str">
        <f t="shared" si="4"/>
        <v/>
      </c>
      <c r="T55" s="1"/>
      <c r="W55" s="14" t="str">
        <f t="shared" si="5"/>
        <v/>
      </c>
      <c r="X55" s="1"/>
    </row>
    <row r="56" ht="15.75" customHeight="1">
      <c r="A56" s="14" t="str">
        <f t="shared" si="6"/>
        <v>SL-52</v>
      </c>
      <c r="B56" s="21">
        <v>46091.0</v>
      </c>
      <c r="C56" s="26" t="s">
        <v>11</v>
      </c>
      <c r="D56" s="26" t="s">
        <v>21</v>
      </c>
      <c r="E56" s="22" t="s">
        <v>66</v>
      </c>
      <c r="F56" s="22" t="s">
        <v>19</v>
      </c>
      <c r="G56" s="26" t="s">
        <v>39</v>
      </c>
      <c r="H56" s="26" t="s">
        <v>149</v>
      </c>
      <c r="I56" s="26" t="s">
        <v>81</v>
      </c>
      <c r="J56" s="27">
        <v>0.2916666666666667</v>
      </c>
      <c r="K56" s="27">
        <v>0.2986111111111111</v>
      </c>
      <c r="L56" s="26">
        <v>10.0</v>
      </c>
      <c r="M56" s="17">
        <f t="shared" si="2"/>
        <v>10</v>
      </c>
      <c r="P56" s="18" t="str">
        <f t="shared" si="3"/>
        <v/>
      </c>
      <c r="Q56" s="2">
        <v>50.0</v>
      </c>
      <c r="R56" s="2">
        <v>14.0</v>
      </c>
      <c r="S56" s="18">
        <f t="shared" si="4"/>
        <v>0.28</v>
      </c>
      <c r="T56" s="1"/>
      <c r="W56" s="14" t="str">
        <f t="shared" si="5"/>
        <v/>
      </c>
      <c r="X56" s="1"/>
    </row>
    <row r="57" ht="15.75" customHeight="1">
      <c r="A57" s="14" t="str">
        <f t="shared" si="6"/>
        <v>SL-53</v>
      </c>
      <c r="B57" s="21">
        <v>46091.0</v>
      </c>
      <c r="C57" s="26" t="s">
        <v>11</v>
      </c>
      <c r="D57" s="26" t="s">
        <v>21</v>
      </c>
      <c r="E57" s="22" t="s">
        <v>81</v>
      </c>
      <c r="F57" s="22" t="s">
        <v>19</v>
      </c>
      <c r="G57" s="26" t="s">
        <v>39</v>
      </c>
      <c r="H57" s="26" t="s">
        <v>149</v>
      </c>
      <c r="I57" s="26" t="s">
        <v>66</v>
      </c>
      <c r="J57" s="27">
        <v>0.2916666666666667</v>
      </c>
      <c r="K57" s="27">
        <v>0.2986111111111111</v>
      </c>
      <c r="L57" s="26">
        <v>10.0</v>
      </c>
      <c r="M57" s="17">
        <f t="shared" si="2"/>
        <v>10</v>
      </c>
      <c r="P57" s="18" t="str">
        <f t="shared" si="3"/>
        <v/>
      </c>
      <c r="Q57" s="2">
        <v>50.0</v>
      </c>
      <c r="R57" s="2">
        <v>15.0</v>
      </c>
      <c r="S57" s="18">
        <f t="shared" si="4"/>
        <v>0.3</v>
      </c>
      <c r="T57" s="1"/>
      <c r="W57" s="14" t="str">
        <f t="shared" si="5"/>
        <v/>
      </c>
      <c r="X57" s="1"/>
    </row>
    <row r="58" ht="15.75" customHeight="1">
      <c r="A58" s="14" t="str">
        <f t="shared" si="6"/>
        <v>SL-54</v>
      </c>
      <c r="B58" s="21">
        <v>46091.0</v>
      </c>
      <c r="C58" s="26" t="s">
        <v>11</v>
      </c>
      <c r="D58" s="26" t="s">
        <v>21</v>
      </c>
      <c r="E58" s="22" t="s">
        <v>66</v>
      </c>
      <c r="F58" s="22" t="s">
        <v>19</v>
      </c>
      <c r="G58" s="26" t="s">
        <v>39</v>
      </c>
      <c r="H58" s="26" t="s">
        <v>150</v>
      </c>
      <c r="I58" s="26" t="s">
        <v>81</v>
      </c>
      <c r="J58" s="27">
        <v>0.2986111111111111</v>
      </c>
      <c r="K58" s="27">
        <v>0.3055555555555556</v>
      </c>
      <c r="L58" s="26">
        <v>10.0</v>
      </c>
      <c r="M58" s="17">
        <f t="shared" si="2"/>
        <v>10</v>
      </c>
      <c r="P58" s="18" t="str">
        <f t="shared" si="3"/>
        <v/>
      </c>
      <c r="Q58" s="2">
        <v>50.0</v>
      </c>
      <c r="R58" s="2">
        <v>15.0</v>
      </c>
      <c r="S58" s="18">
        <f t="shared" si="4"/>
        <v>0.3</v>
      </c>
      <c r="T58" s="1"/>
      <c r="W58" s="14" t="str">
        <f t="shared" si="5"/>
        <v/>
      </c>
      <c r="X58" s="1"/>
    </row>
    <row r="59" ht="15.75" customHeight="1">
      <c r="A59" s="14" t="str">
        <f t="shared" si="6"/>
        <v>SL-55</v>
      </c>
      <c r="B59" s="21">
        <v>46091.0</v>
      </c>
      <c r="C59" s="26" t="s">
        <v>11</v>
      </c>
      <c r="D59" s="26" t="s">
        <v>21</v>
      </c>
      <c r="E59" s="22" t="s">
        <v>81</v>
      </c>
      <c r="F59" s="22" t="s">
        <v>19</v>
      </c>
      <c r="G59" s="26" t="s">
        <v>39</v>
      </c>
      <c r="H59" s="26" t="s">
        <v>150</v>
      </c>
      <c r="I59" s="26" t="s">
        <v>66</v>
      </c>
      <c r="J59" s="27">
        <v>0.2986111111111111</v>
      </c>
      <c r="K59" s="27">
        <v>0.3055555555555556</v>
      </c>
      <c r="L59" s="26">
        <v>10.0</v>
      </c>
      <c r="M59" s="17">
        <f t="shared" si="2"/>
        <v>10</v>
      </c>
      <c r="P59" s="18" t="str">
        <f t="shared" si="3"/>
        <v/>
      </c>
      <c r="Q59" s="2">
        <v>50.0</v>
      </c>
      <c r="R59" s="2">
        <v>12.0</v>
      </c>
      <c r="S59" s="18">
        <f t="shared" si="4"/>
        <v>0.24</v>
      </c>
      <c r="T59" s="1"/>
      <c r="W59" s="14" t="str">
        <f t="shared" si="5"/>
        <v/>
      </c>
      <c r="X59" s="1"/>
    </row>
    <row r="60" ht="15.75" customHeight="1">
      <c r="A60" s="14" t="str">
        <f t="shared" si="6"/>
        <v>SL-56</v>
      </c>
      <c r="B60" s="21">
        <v>46091.0</v>
      </c>
      <c r="C60" s="26" t="s">
        <v>11</v>
      </c>
      <c r="D60" s="26" t="s">
        <v>21</v>
      </c>
      <c r="E60" s="22" t="s">
        <v>77</v>
      </c>
      <c r="F60" s="26" t="s">
        <v>19</v>
      </c>
      <c r="G60" s="26" t="s">
        <v>13</v>
      </c>
      <c r="H60" s="26" t="s">
        <v>125</v>
      </c>
      <c r="I60" s="26" t="s">
        <v>94</v>
      </c>
      <c r="J60" s="27">
        <v>0.3055555555555556</v>
      </c>
      <c r="K60" s="27">
        <v>0.3229166666666667</v>
      </c>
      <c r="L60" s="26">
        <v>25.0</v>
      </c>
      <c r="M60" s="17">
        <f t="shared" si="2"/>
        <v>25</v>
      </c>
      <c r="P60" s="18" t="str">
        <f t="shared" si="3"/>
        <v/>
      </c>
      <c r="S60" s="18" t="str">
        <f t="shared" si="4"/>
        <v/>
      </c>
      <c r="T60" s="1"/>
      <c r="W60" s="14" t="str">
        <f t="shared" si="5"/>
        <v/>
      </c>
      <c r="X60" s="1"/>
    </row>
    <row r="61" ht="15.75" customHeight="1">
      <c r="A61" s="14" t="str">
        <f t="shared" si="6"/>
        <v>SL-57</v>
      </c>
      <c r="B61" s="21">
        <v>46091.0</v>
      </c>
      <c r="C61" s="26" t="s">
        <v>11</v>
      </c>
      <c r="D61" s="26" t="s">
        <v>21</v>
      </c>
      <c r="E61" s="22" t="s">
        <v>66</v>
      </c>
      <c r="F61" s="26" t="s">
        <v>19</v>
      </c>
      <c r="G61" s="26" t="s">
        <v>13</v>
      </c>
      <c r="H61" s="26" t="s">
        <v>125</v>
      </c>
      <c r="I61" s="26" t="s">
        <v>19</v>
      </c>
      <c r="J61" s="27">
        <v>0.3055555555555556</v>
      </c>
      <c r="K61" s="27">
        <v>0.3229166666666667</v>
      </c>
      <c r="L61" s="26">
        <v>25.0</v>
      </c>
      <c r="M61" s="17">
        <f t="shared" si="2"/>
        <v>25</v>
      </c>
      <c r="P61" s="18" t="str">
        <f t="shared" si="3"/>
        <v/>
      </c>
      <c r="S61" s="18" t="str">
        <f t="shared" si="4"/>
        <v/>
      </c>
      <c r="T61" s="1"/>
      <c r="W61" s="14" t="str">
        <f t="shared" si="5"/>
        <v/>
      </c>
      <c r="X61" s="1"/>
    </row>
    <row r="62" ht="15.75" customHeight="1">
      <c r="A62" s="14" t="str">
        <f t="shared" si="6"/>
        <v>SL-58</v>
      </c>
      <c r="B62" s="21">
        <v>46091.0</v>
      </c>
      <c r="C62" s="26" t="s">
        <v>11</v>
      </c>
      <c r="D62" s="26" t="s">
        <v>21</v>
      </c>
      <c r="E62" s="22" t="s">
        <v>77</v>
      </c>
      <c r="F62" s="26" t="s">
        <v>19</v>
      </c>
      <c r="G62" s="26" t="s">
        <v>45</v>
      </c>
      <c r="H62" s="26" t="s">
        <v>140</v>
      </c>
      <c r="I62" s="26" t="s">
        <v>151</v>
      </c>
      <c r="J62" s="27">
        <v>0.3229166666666667</v>
      </c>
      <c r="K62" s="27">
        <v>0.3541666666666667</v>
      </c>
      <c r="L62" s="26">
        <v>45.0</v>
      </c>
      <c r="M62" s="17">
        <f t="shared" si="2"/>
        <v>45</v>
      </c>
      <c r="P62" s="18" t="str">
        <f t="shared" si="3"/>
        <v/>
      </c>
      <c r="S62" s="18" t="str">
        <f t="shared" si="4"/>
        <v/>
      </c>
      <c r="T62" s="2" t="s">
        <v>36</v>
      </c>
      <c r="U62" s="2">
        <v>4.0</v>
      </c>
      <c r="V62" s="2">
        <v>6.0</v>
      </c>
      <c r="W62" s="14" t="str">
        <f t="shared" si="5"/>
        <v>Loss</v>
      </c>
      <c r="X62" s="1"/>
    </row>
    <row r="63" ht="15.75" customHeight="1">
      <c r="A63" s="14" t="str">
        <f t="shared" si="6"/>
        <v>SL-59</v>
      </c>
      <c r="B63" s="21">
        <v>46091.0</v>
      </c>
      <c r="C63" s="26" t="s">
        <v>11</v>
      </c>
      <c r="D63" s="26" t="s">
        <v>21</v>
      </c>
      <c r="E63" s="22" t="s">
        <v>77</v>
      </c>
      <c r="F63" s="26" t="s">
        <v>19</v>
      </c>
      <c r="G63" s="26" t="s">
        <v>45</v>
      </c>
      <c r="H63" s="26" t="s">
        <v>152</v>
      </c>
      <c r="I63" s="26" t="s">
        <v>19</v>
      </c>
      <c r="J63" s="27">
        <v>0.3541666666666667</v>
      </c>
      <c r="K63" s="27">
        <v>0.3645833333333333</v>
      </c>
      <c r="L63" s="26">
        <v>15.0</v>
      </c>
      <c r="M63" s="17">
        <f t="shared" si="2"/>
        <v>15</v>
      </c>
      <c r="P63" s="18" t="str">
        <f t="shared" si="3"/>
        <v/>
      </c>
      <c r="S63" s="18" t="str">
        <f t="shared" si="4"/>
        <v/>
      </c>
      <c r="T63" s="2" t="s">
        <v>31</v>
      </c>
      <c r="U63" s="2">
        <v>10.0</v>
      </c>
      <c r="V63" s="2">
        <v>4.0</v>
      </c>
      <c r="W63" s="14" t="str">
        <f t="shared" si="5"/>
        <v>Win</v>
      </c>
      <c r="X63" s="1"/>
    </row>
    <row r="64" ht="15.75" customHeight="1">
      <c r="A64" s="14" t="str">
        <f t="shared" si="6"/>
        <v>SL-60</v>
      </c>
      <c r="B64" s="21">
        <v>46091.0</v>
      </c>
      <c r="C64" s="26" t="s">
        <v>11</v>
      </c>
      <c r="D64" s="26" t="s">
        <v>21</v>
      </c>
      <c r="E64" s="22" t="s">
        <v>77</v>
      </c>
      <c r="F64" s="26" t="s">
        <v>19</v>
      </c>
      <c r="G64" s="26" t="s">
        <v>45</v>
      </c>
      <c r="H64" s="26" t="s">
        <v>153</v>
      </c>
      <c r="I64" s="26" t="s">
        <v>154</v>
      </c>
      <c r="J64" s="27">
        <v>0.3645833333333333</v>
      </c>
      <c r="K64" s="27">
        <v>0.375</v>
      </c>
      <c r="L64" s="26">
        <v>15.0</v>
      </c>
      <c r="M64" s="17">
        <f t="shared" si="2"/>
        <v>15</v>
      </c>
      <c r="P64" s="18" t="str">
        <f t="shared" si="3"/>
        <v/>
      </c>
      <c r="S64" s="18" t="str">
        <f t="shared" si="4"/>
        <v/>
      </c>
      <c r="T64" s="2" t="s">
        <v>31</v>
      </c>
      <c r="U64" s="2">
        <v>9.0</v>
      </c>
      <c r="V64" s="2">
        <v>11.0</v>
      </c>
      <c r="W64" s="14" t="str">
        <f t="shared" si="5"/>
        <v>Loss</v>
      </c>
      <c r="X64" s="1"/>
    </row>
    <row r="65" ht="15.75" customHeight="1">
      <c r="A65" s="14" t="str">
        <f t="shared" si="6"/>
        <v>SL-61</v>
      </c>
      <c r="B65" s="21">
        <v>46091.0</v>
      </c>
      <c r="C65" s="26" t="s">
        <v>11</v>
      </c>
      <c r="D65" s="26" t="s">
        <v>21</v>
      </c>
      <c r="E65" s="22" t="s">
        <v>66</v>
      </c>
      <c r="F65" s="26" t="s">
        <v>19</v>
      </c>
      <c r="G65" s="26" t="s">
        <v>45</v>
      </c>
      <c r="H65" s="26" t="s">
        <v>140</v>
      </c>
      <c r="I65" s="26" t="s">
        <v>155</v>
      </c>
      <c r="J65" s="27">
        <v>0.3229166666666667</v>
      </c>
      <c r="K65" s="27">
        <v>0.3541666666666667</v>
      </c>
      <c r="L65" s="26">
        <v>45.0</v>
      </c>
      <c r="M65" s="17">
        <f t="shared" si="2"/>
        <v>45</v>
      </c>
      <c r="P65" s="18" t="str">
        <f t="shared" si="3"/>
        <v/>
      </c>
      <c r="S65" s="18" t="str">
        <f t="shared" si="4"/>
        <v/>
      </c>
      <c r="T65" s="2" t="s">
        <v>36</v>
      </c>
      <c r="U65" s="2">
        <v>6.0</v>
      </c>
      <c r="V65" s="2">
        <v>4.0</v>
      </c>
      <c r="W65" s="14" t="str">
        <f t="shared" si="5"/>
        <v>Win</v>
      </c>
      <c r="X65" s="1"/>
    </row>
    <row r="66" ht="15.75" customHeight="1">
      <c r="A66" s="14" t="str">
        <f t="shared" si="6"/>
        <v>SL-62</v>
      </c>
      <c r="B66" s="21">
        <v>46091.0</v>
      </c>
      <c r="C66" s="26" t="s">
        <v>11</v>
      </c>
      <c r="D66" s="26" t="s">
        <v>21</v>
      </c>
      <c r="E66" s="22" t="s">
        <v>74</v>
      </c>
      <c r="F66" s="26" t="s">
        <v>19</v>
      </c>
      <c r="G66" s="26" t="s">
        <v>13</v>
      </c>
      <c r="H66" s="26" t="s">
        <v>125</v>
      </c>
      <c r="I66" s="28"/>
      <c r="J66" s="27">
        <v>0.2604166666666667</v>
      </c>
      <c r="K66" s="27">
        <v>0.3263888888888889</v>
      </c>
      <c r="L66" s="26">
        <v>95.0</v>
      </c>
      <c r="M66" s="29">
        <v>60.0</v>
      </c>
      <c r="P66" s="18" t="str">
        <f t="shared" si="3"/>
        <v/>
      </c>
      <c r="S66" s="18" t="str">
        <f t="shared" si="4"/>
        <v/>
      </c>
      <c r="T66" s="1"/>
      <c r="W66" s="14" t="str">
        <f t="shared" si="5"/>
        <v/>
      </c>
      <c r="X66" s="1"/>
    </row>
    <row r="67" ht="15.75" customHeight="1">
      <c r="A67" s="14" t="str">
        <f t="shared" si="6"/>
        <v>SL-63</v>
      </c>
      <c r="B67" s="21">
        <v>46091.0</v>
      </c>
      <c r="C67" s="26" t="s">
        <v>28</v>
      </c>
      <c r="D67" s="26" t="s">
        <v>21</v>
      </c>
      <c r="E67" s="22" t="s">
        <v>70</v>
      </c>
      <c r="F67" s="26" t="s">
        <v>19</v>
      </c>
      <c r="G67" s="26" t="s">
        <v>30</v>
      </c>
      <c r="H67" s="26" t="s">
        <v>145</v>
      </c>
      <c r="I67" s="28"/>
      <c r="J67" s="30">
        <v>0.6666666666666666</v>
      </c>
      <c r="K67" s="30">
        <v>0.6770833333333334</v>
      </c>
      <c r="L67" s="26">
        <v>15.0</v>
      </c>
      <c r="M67" s="17">
        <f t="shared" ref="M67:M113" si="7">IF(L67="","",L67)</f>
        <v>15</v>
      </c>
      <c r="N67" s="2">
        <v>50.0</v>
      </c>
      <c r="O67" s="2">
        <v>38.0</v>
      </c>
      <c r="P67" s="18">
        <f t="shared" si="3"/>
        <v>0.76</v>
      </c>
      <c r="Q67" s="2">
        <v>50.0</v>
      </c>
      <c r="R67" s="2">
        <v>0.0</v>
      </c>
      <c r="S67" s="18">
        <f t="shared" si="4"/>
        <v>0</v>
      </c>
      <c r="T67" s="1"/>
      <c r="W67" s="14" t="str">
        <f t="shared" si="5"/>
        <v/>
      </c>
      <c r="X67" s="1"/>
    </row>
    <row r="68" ht="15.75" customHeight="1">
      <c r="A68" s="14" t="str">
        <f t="shared" si="6"/>
        <v>SL-64</v>
      </c>
      <c r="B68" s="21">
        <v>46091.0</v>
      </c>
      <c r="C68" s="26" t="s">
        <v>28</v>
      </c>
      <c r="D68" s="26" t="s">
        <v>21</v>
      </c>
      <c r="E68" s="22" t="s">
        <v>70</v>
      </c>
      <c r="F68" s="26" t="s">
        <v>19</v>
      </c>
      <c r="G68" s="26" t="s">
        <v>13</v>
      </c>
      <c r="H68" s="26" t="s">
        <v>125</v>
      </c>
      <c r="I68" s="26" t="s">
        <v>19</v>
      </c>
      <c r="J68" s="27">
        <v>0.6770833333333334</v>
      </c>
      <c r="K68" s="27">
        <v>0.6805555555555556</v>
      </c>
      <c r="L68" s="26">
        <v>5.0</v>
      </c>
      <c r="M68" s="17">
        <f t="shared" si="7"/>
        <v>5</v>
      </c>
      <c r="P68" s="18" t="str">
        <f t="shared" si="3"/>
        <v/>
      </c>
      <c r="S68" s="18" t="str">
        <f t="shared" si="4"/>
        <v/>
      </c>
      <c r="T68" s="1"/>
      <c r="W68" s="14" t="str">
        <f t="shared" si="5"/>
        <v/>
      </c>
      <c r="X68" s="1"/>
    </row>
    <row r="69" ht="15.75" customHeight="1">
      <c r="A69" s="14" t="str">
        <f t="shared" si="6"/>
        <v>SL-65</v>
      </c>
      <c r="B69" s="21">
        <v>46091.0</v>
      </c>
      <c r="C69" s="26" t="s">
        <v>28</v>
      </c>
      <c r="D69" s="26" t="s">
        <v>21</v>
      </c>
      <c r="E69" s="22" t="s">
        <v>70</v>
      </c>
      <c r="F69" s="26" t="s">
        <v>19</v>
      </c>
      <c r="G69" s="26" t="s">
        <v>13</v>
      </c>
      <c r="H69" s="26" t="s">
        <v>139</v>
      </c>
      <c r="I69" s="26" t="s">
        <v>19</v>
      </c>
      <c r="J69" s="27">
        <v>0.6805555555555556</v>
      </c>
      <c r="K69" s="27">
        <v>0.6840277777777778</v>
      </c>
      <c r="L69" s="26">
        <v>5.0</v>
      </c>
      <c r="M69" s="17">
        <f t="shared" si="7"/>
        <v>5</v>
      </c>
      <c r="P69" s="18" t="str">
        <f t="shared" si="3"/>
        <v/>
      </c>
      <c r="S69" s="18" t="str">
        <f t="shared" si="4"/>
        <v/>
      </c>
      <c r="T69" s="1"/>
      <c r="W69" s="14" t="str">
        <f t="shared" si="5"/>
        <v/>
      </c>
      <c r="X69" s="1"/>
    </row>
    <row r="70" ht="15.75" customHeight="1">
      <c r="A70" s="14" t="str">
        <f t="shared" si="6"/>
        <v>SL-66</v>
      </c>
      <c r="B70" s="21">
        <v>46091.0</v>
      </c>
      <c r="C70" s="26" t="s">
        <v>28</v>
      </c>
      <c r="D70" s="26" t="s">
        <v>21</v>
      </c>
      <c r="E70" s="22" t="s">
        <v>70</v>
      </c>
      <c r="F70" s="26" t="s">
        <v>19</v>
      </c>
      <c r="G70" s="26" t="s">
        <v>13</v>
      </c>
      <c r="H70" s="26" t="s">
        <v>138</v>
      </c>
      <c r="I70" s="26" t="s">
        <v>19</v>
      </c>
      <c r="J70" s="27">
        <v>0.6840277777777778</v>
      </c>
      <c r="K70" s="27">
        <v>0.6875</v>
      </c>
      <c r="L70" s="26">
        <v>5.0</v>
      </c>
      <c r="M70" s="17">
        <f t="shared" si="7"/>
        <v>5</v>
      </c>
      <c r="P70" s="18" t="str">
        <f t="shared" si="3"/>
        <v/>
      </c>
      <c r="S70" s="18" t="str">
        <f t="shared" si="4"/>
        <v/>
      </c>
      <c r="T70" s="1"/>
      <c r="W70" s="14" t="str">
        <f t="shared" si="5"/>
        <v/>
      </c>
      <c r="X70" s="1"/>
    </row>
    <row r="71" ht="15.75" customHeight="1">
      <c r="A71" s="14" t="str">
        <f t="shared" si="6"/>
        <v>SL-67</v>
      </c>
      <c r="B71" s="21">
        <v>46091.0</v>
      </c>
      <c r="C71" s="26" t="s">
        <v>28</v>
      </c>
      <c r="D71" s="26" t="s">
        <v>21</v>
      </c>
      <c r="E71" s="22" t="s">
        <v>81</v>
      </c>
      <c r="F71" s="26" t="s">
        <v>19</v>
      </c>
      <c r="G71" s="26" t="s">
        <v>13</v>
      </c>
      <c r="H71" s="26" t="s">
        <v>125</v>
      </c>
      <c r="I71" s="26" t="s">
        <v>70</v>
      </c>
      <c r="J71" s="27">
        <v>0.6875</v>
      </c>
      <c r="K71" s="27">
        <v>0.6979166666666666</v>
      </c>
      <c r="L71" s="26">
        <v>15.0</v>
      </c>
      <c r="M71" s="17">
        <f t="shared" si="7"/>
        <v>15</v>
      </c>
      <c r="P71" s="18" t="str">
        <f t="shared" si="3"/>
        <v/>
      </c>
      <c r="S71" s="18" t="str">
        <f t="shared" si="4"/>
        <v/>
      </c>
      <c r="T71" s="1"/>
      <c r="W71" s="14" t="str">
        <f t="shared" si="5"/>
        <v/>
      </c>
      <c r="X71" s="1"/>
    </row>
    <row r="72" ht="15.75" customHeight="1">
      <c r="A72" s="14" t="str">
        <f t="shared" si="6"/>
        <v>SL-68</v>
      </c>
      <c r="B72" s="21">
        <v>46091.0</v>
      </c>
      <c r="C72" s="26" t="s">
        <v>28</v>
      </c>
      <c r="D72" s="26" t="s">
        <v>21</v>
      </c>
      <c r="E72" s="22" t="s">
        <v>81</v>
      </c>
      <c r="F72" s="26" t="s">
        <v>19</v>
      </c>
      <c r="G72" s="26" t="s">
        <v>13</v>
      </c>
      <c r="H72" s="26" t="s">
        <v>156</v>
      </c>
      <c r="I72" s="26" t="s">
        <v>70</v>
      </c>
      <c r="J72" s="27">
        <v>0.6979166666666666</v>
      </c>
      <c r="K72" s="27">
        <v>0.7083333333333334</v>
      </c>
      <c r="L72" s="26">
        <v>15.0</v>
      </c>
      <c r="M72" s="17">
        <f t="shared" si="7"/>
        <v>15</v>
      </c>
      <c r="P72" s="18" t="str">
        <f t="shared" si="3"/>
        <v/>
      </c>
      <c r="S72" s="18" t="str">
        <f t="shared" si="4"/>
        <v/>
      </c>
      <c r="T72" s="1"/>
      <c r="W72" s="14" t="str">
        <f t="shared" si="5"/>
        <v/>
      </c>
      <c r="X72" s="1"/>
    </row>
    <row r="73" ht="15.75" customHeight="1">
      <c r="A73" s="14" t="str">
        <f t="shared" si="6"/>
        <v>SL-69</v>
      </c>
      <c r="B73" s="21">
        <v>46091.0</v>
      </c>
      <c r="C73" s="26" t="s">
        <v>28</v>
      </c>
      <c r="D73" s="26" t="s">
        <v>21</v>
      </c>
      <c r="E73" s="22" t="s">
        <v>81</v>
      </c>
      <c r="F73" s="26" t="s">
        <v>19</v>
      </c>
      <c r="G73" s="26" t="s">
        <v>45</v>
      </c>
      <c r="H73" s="26" t="s">
        <v>36</v>
      </c>
      <c r="I73" s="26" t="s">
        <v>70</v>
      </c>
      <c r="J73" s="27">
        <v>0.7083333333333334</v>
      </c>
      <c r="K73" s="27">
        <v>0.7291666666666666</v>
      </c>
      <c r="L73" s="26">
        <v>30.0</v>
      </c>
      <c r="M73" s="17">
        <f t="shared" si="7"/>
        <v>30</v>
      </c>
      <c r="P73" s="18" t="str">
        <f t="shared" si="3"/>
        <v/>
      </c>
      <c r="S73" s="18" t="str">
        <f t="shared" si="4"/>
        <v/>
      </c>
      <c r="T73" s="1"/>
      <c r="U73" s="2">
        <v>3.0</v>
      </c>
      <c r="V73" s="2">
        <v>4.0</v>
      </c>
      <c r="W73" s="14" t="str">
        <f t="shared" si="5"/>
        <v>Loss</v>
      </c>
      <c r="X73" s="1"/>
    </row>
    <row r="74" ht="15.75" customHeight="1">
      <c r="A74" s="14" t="str">
        <f t="shared" si="6"/>
        <v>SL-70</v>
      </c>
      <c r="B74" s="21">
        <v>46091.0</v>
      </c>
      <c r="C74" s="26" t="s">
        <v>28</v>
      </c>
      <c r="D74" s="26" t="s">
        <v>21</v>
      </c>
      <c r="E74" s="22" t="s">
        <v>62</v>
      </c>
      <c r="F74" s="26" t="s">
        <v>19</v>
      </c>
      <c r="G74" s="26" t="s">
        <v>45</v>
      </c>
      <c r="H74" s="26" t="s">
        <v>36</v>
      </c>
      <c r="I74" s="26" t="s">
        <v>81</v>
      </c>
      <c r="J74" s="27">
        <v>0.7291666666666666</v>
      </c>
      <c r="K74" s="27">
        <v>0.7604166666666666</v>
      </c>
      <c r="L74" s="26">
        <v>45.0</v>
      </c>
      <c r="M74" s="17">
        <f t="shared" si="7"/>
        <v>45</v>
      </c>
      <c r="P74" s="18" t="str">
        <f t="shared" si="3"/>
        <v/>
      </c>
      <c r="S74" s="18" t="str">
        <f t="shared" si="4"/>
        <v/>
      </c>
      <c r="T74" s="1"/>
      <c r="U74" s="2">
        <v>4.0</v>
      </c>
      <c r="V74" s="2">
        <v>6.0</v>
      </c>
      <c r="W74" s="14" t="str">
        <f t="shared" si="5"/>
        <v>Loss</v>
      </c>
      <c r="X74" s="1"/>
    </row>
    <row r="75" ht="15.75" customHeight="1">
      <c r="A75" s="14" t="str">
        <f t="shared" si="6"/>
        <v>SL-71</v>
      </c>
      <c r="B75" s="21">
        <v>46091.0</v>
      </c>
      <c r="C75" s="26" t="s">
        <v>28</v>
      </c>
      <c r="D75" s="26" t="s">
        <v>21</v>
      </c>
      <c r="E75" s="22" t="s">
        <v>81</v>
      </c>
      <c r="F75" s="26" t="s">
        <v>19</v>
      </c>
      <c r="G75" s="26" t="s">
        <v>45</v>
      </c>
      <c r="H75" s="26" t="s">
        <v>36</v>
      </c>
      <c r="I75" s="26" t="s">
        <v>62</v>
      </c>
      <c r="J75" s="27">
        <v>0.7291666666666666</v>
      </c>
      <c r="K75" s="27">
        <v>0.7604166666666666</v>
      </c>
      <c r="L75" s="26">
        <v>45.0</v>
      </c>
      <c r="M75" s="17">
        <f t="shared" si="7"/>
        <v>45</v>
      </c>
      <c r="P75" s="18" t="str">
        <f t="shared" si="3"/>
        <v/>
      </c>
      <c r="S75" s="18" t="str">
        <f t="shared" si="4"/>
        <v/>
      </c>
      <c r="T75" s="1"/>
      <c r="U75" s="2">
        <v>6.0</v>
      </c>
      <c r="V75" s="2">
        <v>4.0</v>
      </c>
      <c r="W75" s="14" t="str">
        <f t="shared" si="5"/>
        <v>Win</v>
      </c>
      <c r="X75" s="1"/>
    </row>
    <row r="76" ht="15.75" customHeight="1">
      <c r="A76" s="14" t="str">
        <f t="shared" si="6"/>
        <v>SL-72</v>
      </c>
      <c r="B76" s="21">
        <v>46091.0</v>
      </c>
      <c r="C76" s="26" t="s">
        <v>28</v>
      </c>
      <c r="D76" s="26" t="s">
        <v>21</v>
      </c>
      <c r="E76" s="22" t="s">
        <v>70</v>
      </c>
      <c r="F76" s="26" t="s">
        <v>19</v>
      </c>
      <c r="G76" s="26" t="s">
        <v>45</v>
      </c>
      <c r="H76" s="26" t="s">
        <v>36</v>
      </c>
      <c r="I76" s="26" t="s">
        <v>81</v>
      </c>
      <c r="J76" s="27">
        <v>0.7083333333333334</v>
      </c>
      <c r="K76" s="27">
        <v>0.7291666666666666</v>
      </c>
      <c r="L76" s="26">
        <v>30.0</v>
      </c>
      <c r="M76" s="17">
        <f t="shared" si="7"/>
        <v>30</v>
      </c>
      <c r="P76" s="18" t="str">
        <f t="shared" si="3"/>
        <v/>
      </c>
      <c r="S76" s="18" t="str">
        <f t="shared" si="4"/>
        <v/>
      </c>
      <c r="T76" s="1"/>
      <c r="U76" s="2">
        <v>4.0</v>
      </c>
      <c r="V76" s="2">
        <v>3.0</v>
      </c>
      <c r="W76" s="14" t="str">
        <f t="shared" si="5"/>
        <v>Win</v>
      </c>
      <c r="X76" s="1"/>
    </row>
    <row r="77" ht="15.75" customHeight="1">
      <c r="A77" s="14" t="str">
        <f t="shared" si="6"/>
        <v>SL-73</v>
      </c>
      <c r="B77" s="28"/>
      <c r="C77" s="28"/>
      <c r="D77" s="28"/>
      <c r="E77" s="22"/>
      <c r="F77" s="28"/>
      <c r="G77" s="28"/>
      <c r="H77" s="28"/>
      <c r="I77" s="28"/>
      <c r="J77" s="28"/>
      <c r="K77" s="28"/>
      <c r="L77" s="28"/>
      <c r="M77" s="17" t="str">
        <f t="shared" si="7"/>
        <v/>
      </c>
      <c r="P77" s="18" t="str">
        <f t="shared" si="3"/>
        <v/>
      </c>
      <c r="S77" s="18" t="str">
        <f t="shared" si="4"/>
        <v/>
      </c>
      <c r="T77" s="1"/>
      <c r="W77" s="14" t="str">
        <f t="shared" si="5"/>
        <v/>
      </c>
      <c r="X77" s="1"/>
    </row>
    <row r="78" ht="15.75" customHeight="1">
      <c r="A78" s="14" t="str">
        <f t="shared" si="6"/>
        <v/>
      </c>
      <c r="B78" s="28"/>
      <c r="C78" s="28"/>
      <c r="D78" s="28"/>
      <c r="E78" s="22"/>
      <c r="F78" s="28"/>
      <c r="G78" s="28"/>
      <c r="H78" s="28"/>
      <c r="I78" s="28"/>
      <c r="J78" s="28"/>
      <c r="K78" s="28"/>
      <c r="L78" s="28"/>
      <c r="M78" s="17" t="str">
        <f t="shared" si="7"/>
        <v/>
      </c>
      <c r="P78" s="18" t="str">
        <f t="shared" si="3"/>
        <v/>
      </c>
      <c r="S78" s="18" t="str">
        <f t="shared" si="4"/>
        <v/>
      </c>
      <c r="T78" s="1"/>
      <c r="W78" s="14" t="str">
        <f t="shared" si="5"/>
        <v/>
      </c>
      <c r="X78" s="1"/>
    </row>
    <row r="79" ht="15.75" customHeight="1">
      <c r="A79" s="14" t="str">
        <f t="shared" si="6"/>
        <v/>
      </c>
      <c r="B79" s="28"/>
      <c r="C79" s="28"/>
      <c r="D79" s="28"/>
      <c r="E79" s="22"/>
      <c r="F79" s="28"/>
      <c r="G79" s="28"/>
      <c r="H79" s="28"/>
      <c r="I79" s="28"/>
      <c r="J79" s="28"/>
      <c r="K79" s="28"/>
      <c r="L79" s="28"/>
      <c r="M79" s="17" t="str">
        <f t="shared" si="7"/>
        <v/>
      </c>
      <c r="P79" s="18" t="str">
        <f t="shared" si="3"/>
        <v/>
      </c>
      <c r="S79" s="18" t="str">
        <f t="shared" si="4"/>
        <v/>
      </c>
      <c r="T79" s="1"/>
      <c r="W79" s="14" t="str">
        <f t="shared" si="5"/>
        <v/>
      </c>
      <c r="X79" s="1"/>
    </row>
    <row r="80" ht="15.75" customHeight="1">
      <c r="A80" s="14" t="str">
        <f t="shared" si="6"/>
        <v/>
      </c>
      <c r="B80" s="28"/>
      <c r="C80" s="28"/>
      <c r="D80" s="28"/>
      <c r="E80" s="22"/>
      <c r="F80" s="28"/>
      <c r="G80" s="28"/>
      <c r="H80" s="28"/>
      <c r="I80" s="28"/>
      <c r="J80" s="28"/>
      <c r="K80" s="28"/>
      <c r="L80" s="28"/>
      <c r="M80" s="17" t="str">
        <f t="shared" si="7"/>
        <v/>
      </c>
      <c r="P80" s="18" t="str">
        <f t="shared" si="3"/>
        <v/>
      </c>
      <c r="S80" s="18" t="str">
        <f t="shared" si="4"/>
        <v/>
      </c>
      <c r="T80" s="1"/>
      <c r="W80" s="14" t="str">
        <f t="shared" si="5"/>
        <v/>
      </c>
      <c r="X80" s="1"/>
    </row>
    <row r="81" ht="15.75" customHeight="1">
      <c r="A81" s="14" t="str">
        <f t="shared" si="6"/>
        <v/>
      </c>
      <c r="B81" s="28"/>
      <c r="C81" s="28"/>
      <c r="D81" s="28"/>
      <c r="E81" s="22"/>
      <c r="F81" s="28"/>
      <c r="G81" s="28"/>
      <c r="H81" s="28"/>
      <c r="I81" s="28"/>
      <c r="J81" s="28"/>
      <c r="K81" s="28"/>
      <c r="L81" s="28"/>
      <c r="M81" s="17" t="str">
        <f t="shared" si="7"/>
        <v/>
      </c>
      <c r="P81" s="18" t="str">
        <f t="shared" si="3"/>
        <v/>
      </c>
      <c r="S81" s="18" t="str">
        <f t="shared" si="4"/>
        <v/>
      </c>
      <c r="T81" s="1"/>
      <c r="W81" s="14" t="str">
        <f t="shared" si="5"/>
        <v/>
      </c>
      <c r="X81" s="1"/>
    </row>
    <row r="82" ht="15.75" customHeight="1">
      <c r="A82" s="14" t="str">
        <f t="shared" si="6"/>
        <v/>
      </c>
      <c r="B82" s="28"/>
      <c r="C82" s="28"/>
      <c r="D82" s="28"/>
      <c r="E82" s="22"/>
      <c r="F82" s="28"/>
      <c r="G82" s="28"/>
      <c r="H82" s="28"/>
      <c r="I82" s="28"/>
      <c r="J82" s="28"/>
      <c r="K82" s="28"/>
      <c r="L82" s="28"/>
      <c r="M82" s="17" t="str">
        <f t="shared" si="7"/>
        <v/>
      </c>
      <c r="P82" s="18" t="str">
        <f t="shared" si="3"/>
        <v/>
      </c>
      <c r="S82" s="18" t="str">
        <f t="shared" si="4"/>
        <v/>
      </c>
      <c r="T82" s="1"/>
      <c r="W82" s="14" t="str">
        <f t="shared" si="5"/>
        <v/>
      </c>
      <c r="X82" s="1"/>
    </row>
    <row r="83" ht="15.75" customHeight="1">
      <c r="A83" s="14" t="str">
        <f t="shared" si="6"/>
        <v/>
      </c>
      <c r="B83" s="28"/>
      <c r="C83" s="28"/>
      <c r="D83" s="28"/>
      <c r="E83" s="22"/>
      <c r="F83" s="28"/>
      <c r="G83" s="28"/>
      <c r="H83" s="28"/>
      <c r="I83" s="28"/>
      <c r="J83" s="28"/>
      <c r="K83" s="28"/>
      <c r="L83" s="28"/>
      <c r="M83" s="17" t="str">
        <f t="shared" si="7"/>
        <v/>
      </c>
      <c r="P83" s="18" t="str">
        <f t="shared" si="3"/>
        <v/>
      </c>
      <c r="S83" s="18" t="str">
        <f t="shared" si="4"/>
        <v/>
      </c>
      <c r="T83" s="1"/>
      <c r="W83" s="14" t="str">
        <f t="shared" si="5"/>
        <v/>
      </c>
      <c r="X83" s="1"/>
    </row>
    <row r="84" ht="15.75" customHeight="1">
      <c r="A84" s="14" t="str">
        <f t="shared" si="6"/>
        <v/>
      </c>
      <c r="B84" s="28"/>
      <c r="C84" s="28"/>
      <c r="D84" s="28"/>
      <c r="E84" s="22"/>
      <c r="F84" s="28"/>
      <c r="G84" s="28"/>
      <c r="H84" s="28"/>
      <c r="I84" s="28"/>
      <c r="J84" s="28"/>
      <c r="K84" s="28"/>
      <c r="L84" s="28"/>
      <c r="M84" s="17" t="str">
        <f t="shared" si="7"/>
        <v/>
      </c>
      <c r="P84" s="18" t="str">
        <f t="shared" si="3"/>
        <v/>
      </c>
      <c r="S84" s="18" t="str">
        <f t="shared" si="4"/>
        <v/>
      </c>
      <c r="T84" s="1"/>
      <c r="W84" s="14" t="str">
        <f t="shared" si="5"/>
        <v/>
      </c>
      <c r="X84" s="1"/>
    </row>
    <row r="85" ht="15.75" customHeight="1">
      <c r="A85" s="14" t="str">
        <f t="shared" si="6"/>
        <v/>
      </c>
      <c r="B85" s="28"/>
      <c r="C85" s="28"/>
      <c r="D85" s="28"/>
      <c r="E85" s="22"/>
      <c r="F85" s="28"/>
      <c r="G85" s="28"/>
      <c r="H85" s="28"/>
      <c r="I85" s="28"/>
      <c r="J85" s="28"/>
      <c r="K85" s="28"/>
      <c r="L85" s="28"/>
      <c r="M85" s="17" t="str">
        <f t="shared" si="7"/>
        <v/>
      </c>
      <c r="P85" s="18" t="str">
        <f t="shared" si="3"/>
        <v/>
      </c>
      <c r="S85" s="18" t="str">
        <f t="shared" si="4"/>
        <v/>
      </c>
      <c r="T85" s="1"/>
      <c r="W85" s="14" t="str">
        <f t="shared" si="5"/>
        <v/>
      </c>
      <c r="X85" s="1"/>
    </row>
    <row r="86" ht="15.75" customHeight="1">
      <c r="A86" s="14" t="str">
        <f t="shared" si="6"/>
        <v/>
      </c>
      <c r="B86" s="28"/>
      <c r="C86" s="28"/>
      <c r="D86" s="28"/>
      <c r="E86" s="22"/>
      <c r="F86" s="28"/>
      <c r="G86" s="28"/>
      <c r="H86" s="28"/>
      <c r="I86" s="28"/>
      <c r="J86" s="28"/>
      <c r="K86" s="28"/>
      <c r="L86" s="28"/>
      <c r="M86" s="17" t="str">
        <f t="shared" si="7"/>
        <v/>
      </c>
      <c r="P86" s="18" t="str">
        <f t="shared" si="3"/>
        <v/>
      </c>
      <c r="S86" s="18" t="str">
        <f t="shared" si="4"/>
        <v/>
      </c>
      <c r="T86" s="1"/>
      <c r="W86" s="14" t="str">
        <f t="shared" si="5"/>
        <v/>
      </c>
      <c r="X86" s="1"/>
    </row>
    <row r="87" ht="15.75" customHeight="1">
      <c r="A87" s="14" t="str">
        <f t="shared" si="6"/>
        <v/>
      </c>
      <c r="B87" s="28"/>
      <c r="C87" s="28"/>
      <c r="D87" s="28"/>
      <c r="E87" s="22"/>
      <c r="F87" s="28"/>
      <c r="G87" s="28"/>
      <c r="H87" s="28"/>
      <c r="I87" s="28"/>
      <c r="J87" s="28"/>
      <c r="K87" s="28"/>
      <c r="L87" s="28"/>
      <c r="M87" s="17" t="str">
        <f t="shared" si="7"/>
        <v/>
      </c>
      <c r="P87" s="18" t="str">
        <f t="shared" si="3"/>
        <v/>
      </c>
      <c r="S87" s="18" t="str">
        <f t="shared" si="4"/>
        <v/>
      </c>
      <c r="T87" s="1"/>
      <c r="W87" s="14" t="str">
        <f t="shared" si="5"/>
        <v/>
      </c>
      <c r="X87" s="1"/>
    </row>
    <row r="88" ht="15.75" customHeight="1">
      <c r="A88" s="14" t="str">
        <f t="shared" si="6"/>
        <v/>
      </c>
      <c r="B88" s="28"/>
      <c r="C88" s="28"/>
      <c r="D88" s="28"/>
      <c r="E88" s="22"/>
      <c r="F88" s="28"/>
      <c r="G88" s="28"/>
      <c r="H88" s="28"/>
      <c r="I88" s="28"/>
      <c r="J88" s="28"/>
      <c r="K88" s="28"/>
      <c r="L88" s="28"/>
      <c r="M88" s="17" t="str">
        <f t="shared" si="7"/>
        <v/>
      </c>
      <c r="P88" s="18" t="str">
        <f t="shared" si="3"/>
        <v/>
      </c>
      <c r="S88" s="18" t="str">
        <f t="shared" si="4"/>
        <v/>
      </c>
      <c r="T88" s="1"/>
      <c r="W88" s="14" t="str">
        <f t="shared" si="5"/>
        <v/>
      </c>
      <c r="X88" s="1"/>
    </row>
    <row r="89" ht="15.75" customHeight="1">
      <c r="A89" s="14" t="str">
        <f t="shared" si="6"/>
        <v/>
      </c>
      <c r="B89" s="28"/>
      <c r="C89" s="28"/>
      <c r="D89" s="28"/>
      <c r="E89" s="22"/>
      <c r="F89" s="28"/>
      <c r="G89" s="28"/>
      <c r="H89" s="28"/>
      <c r="I89" s="28"/>
      <c r="J89" s="28"/>
      <c r="K89" s="28"/>
      <c r="L89" s="28"/>
      <c r="M89" s="17" t="str">
        <f t="shared" si="7"/>
        <v/>
      </c>
      <c r="P89" s="18" t="str">
        <f t="shared" si="3"/>
        <v/>
      </c>
      <c r="S89" s="18" t="str">
        <f t="shared" si="4"/>
        <v/>
      </c>
      <c r="T89" s="1"/>
      <c r="W89" s="14" t="str">
        <f t="shared" si="5"/>
        <v/>
      </c>
      <c r="X89" s="1"/>
    </row>
    <row r="90" ht="15.75" customHeight="1">
      <c r="A90" s="14" t="str">
        <f t="shared" si="6"/>
        <v/>
      </c>
      <c r="B90" s="28"/>
      <c r="C90" s="28"/>
      <c r="D90" s="28"/>
      <c r="E90" s="22"/>
      <c r="F90" s="28"/>
      <c r="G90" s="28"/>
      <c r="H90" s="28"/>
      <c r="I90" s="28"/>
      <c r="J90" s="28"/>
      <c r="K90" s="28"/>
      <c r="L90" s="28"/>
      <c r="M90" s="17" t="str">
        <f t="shared" si="7"/>
        <v/>
      </c>
      <c r="P90" s="18" t="str">
        <f t="shared" si="3"/>
        <v/>
      </c>
      <c r="S90" s="18" t="str">
        <f t="shared" si="4"/>
        <v/>
      </c>
      <c r="T90" s="1"/>
      <c r="W90" s="14" t="str">
        <f t="shared" si="5"/>
        <v/>
      </c>
      <c r="X90" s="1"/>
    </row>
    <row r="91" ht="15.75" customHeight="1">
      <c r="A91" s="14" t="str">
        <f t="shared" si="6"/>
        <v/>
      </c>
      <c r="B91" s="28"/>
      <c r="C91" s="28"/>
      <c r="D91" s="28"/>
      <c r="E91" s="22"/>
      <c r="F91" s="28"/>
      <c r="G91" s="28"/>
      <c r="H91" s="28"/>
      <c r="I91" s="28"/>
      <c r="J91" s="28"/>
      <c r="K91" s="28"/>
      <c r="L91" s="28"/>
      <c r="M91" s="17" t="str">
        <f t="shared" si="7"/>
        <v/>
      </c>
      <c r="P91" s="18" t="str">
        <f t="shared" si="3"/>
        <v/>
      </c>
      <c r="S91" s="18" t="str">
        <f t="shared" si="4"/>
        <v/>
      </c>
      <c r="T91" s="1"/>
      <c r="W91" s="14" t="str">
        <f t="shared" si="5"/>
        <v/>
      </c>
      <c r="X91" s="1"/>
    </row>
    <row r="92" ht="15.75" customHeight="1">
      <c r="A92" s="14" t="str">
        <f t="shared" si="6"/>
        <v/>
      </c>
      <c r="B92" s="28"/>
      <c r="C92" s="28"/>
      <c r="D92" s="28"/>
      <c r="E92" s="22"/>
      <c r="F92" s="28"/>
      <c r="G92" s="28"/>
      <c r="H92" s="28"/>
      <c r="I92" s="28"/>
      <c r="J92" s="28"/>
      <c r="K92" s="28"/>
      <c r="L92" s="28"/>
      <c r="M92" s="17" t="str">
        <f t="shared" si="7"/>
        <v/>
      </c>
      <c r="P92" s="18" t="str">
        <f t="shared" si="3"/>
        <v/>
      </c>
      <c r="S92" s="18" t="str">
        <f t="shared" si="4"/>
        <v/>
      </c>
      <c r="T92" s="1"/>
      <c r="W92" s="14" t="str">
        <f t="shared" si="5"/>
        <v/>
      </c>
      <c r="X92" s="1"/>
    </row>
    <row r="93" ht="15.75" customHeight="1">
      <c r="A93" s="14" t="str">
        <f t="shared" si="6"/>
        <v/>
      </c>
      <c r="B93" s="28"/>
      <c r="C93" s="28"/>
      <c r="D93" s="28"/>
      <c r="E93" s="22"/>
      <c r="F93" s="28"/>
      <c r="G93" s="28"/>
      <c r="H93" s="28"/>
      <c r="I93" s="28"/>
      <c r="J93" s="28"/>
      <c r="K93" s="28"/>
      <c r="L93" s="28"/>
      <c r="M93" s="17" t="str">
        <f t="shared" si="7"/>
        <v/>
      </c>
      <c r="P93" s="18" t="str">
        <f t="shared" si="3"/>
        <v/>
      </c>
      <c r="S93" s="18" t="str">
        <f t="shared" si="4"/>
        <v/>
      </c>
      <c r="T93" s="1"/>
      <c r="W93" s="14" t="str">
        <f t="shared" si="5"/>
        <v/>
      </c>
      <c r="X93" s="1"/>
    </row>
    <row r="94" ht="15.75" customHeight="1">
      <c r="A94" s="14" t="str">
        <f t="shared" si="6"/>
        <v/>
      </c>
      <c r="B94" s="28"/>
      <c r="C94" s="28"/>
      <c r="D94" s="28"/>
      <c r="E94" s="22"/>
      <c r="F94" s="28"/>
      <c r="G94" s="28"/>
      <c r="H94" s="28"/>
      <c r="I94" s="28"/>
      <c r="J94" s="28"/>
      <c r="K94" s="28"/>
      <c r="L94" s="28"/>
      <c r="M94" s="17" t="str">
        <f t="shared" si="7"/>
        <v/>
      </c>
      <c r="P94" s="18" t="str">
        <f t="shared" si="3"/>
        <v/>
      </c>
      <c r="S94" s="18" t="str">
        <f t="shared" si="4"/>
        <v/>
      </c>
      <c r="T94" s="1"/>
      <c r="W94" s="14" t="str">
        <f t="shared" si="5"/>
        <v/>
      </c>
      <c r="X94" s="1"/>
    </row>
    <row r="95" ht="15.75" customHeight="1">
      <c r="A95" s="14" t="str">
        <f t="shared" si="6"/>
        <v/>
      </c>
      <c r="B95" s="28"/>
      <c r="C95" s="28"/>
      <c r="D95" s="28"/>
      <c r="E95" s="22"/>
      <c r="F95" s="28"/>
      <c r="G95" s="28"/>
      <c r="H95" s="28"/>
      <c r="I95" s="28"/>
      <c r="J95" s="28"/>
      <c r="K95" s="28"/>
      <c r="L95" s="28"/>
      <c r="M95" s="17" t="str">
        <f t="shared" si="7"/>
        <v/>
      </c>
      <c r="P95" s="18" t="str">
        <f t="shared" si="3"/>
        <v/>
      </c>
      <c r="S95" s="18" t="str">
        <f t="shared" si="4"/>
        <v/>
      </c>
      <c r="T95" s="1"/>
      <c r="W95" s="14" t="str">
        <f t="shared" si="5"/>
        <v/>
      </c>
      <c r="X95" s="1"/>
    </row>
    <row r="96" ht="15.75" customHeight="1">
      <c r="A96" s="14" t="str">
        <f t="shared" si="6"/>
        <v/>
      </c>
      <c r="B96" s="28"/>
      <c r="C96" s="28"/>
      <c r="D96" s="28"/>
      <c r="E96" s="22"/>
      <c r="F96" s="28"/>
      <c r="G96" s="28"/>
      <c r="H96" s="28"/>
      <c r="I96" s="28"/>
      <c r="J96" s="28"/>
      <c r="K96" s="28"/>
      <c r="L96" s="28"/>
      <c r="M96" s="17" t="str">
        <f t="shared" si="7"/>
        <v/>
      </c>
      <c r="P96" s="18" t="str">
        <f t="shared" si="3"/>
        <v/>
      </c>
      <c r="S96" s="18" t="str">
        <f t="shared" si="4"/>
        <v/>
      </c>
      <c r="T96" s="1"/>
      <c r="W96" s="14" t="str">
        <f t="shared" si="5"/>
        <v/>
      </c>
      <c r="X96" s="1"/>
    </row>
    <row r="97" ht="15.75" customHeight="1">
      <c r="A97" s="14" t="str">
        <f t="shared" si="6"/>
        <v/>
      </c>
      <c r="B97" s="28"/>
      <c r="C97" s="28"/>
      <c r="D97" s="28"/>
      <c r="E97" s="22"/>
      <c r="F97" s="28"/>
      <c r="G97" s="28"/>
      <c r="H97" s="28"/>
      <c r="I97" s="28"/>
      <c r="J97" s="28"/>
      <c r="K97" s="28"/>
      <c r="L97" s="28"/>
      <c r="M97" s="17" t="str">
        <f t="shared" si="7"/>
        <v/>
      </c>
      <c r="P97" s="18" t="str">
        <f t="shared" si="3"/>
        <v/>
      </c>
      <c r="S97" s="18" t="str">
        <f t="shared" si="4"/>
        <v/>
      </c>
      <c r="T97" s="1"/>
      <c r="W97" s="14" t="str">
        <f t="shared" si="5"/>
        <v/>
      </c>
      <c r="X97" s="1"/>
    </row>
    <row r="98" ht="15.75" customHeight="1">
      <c r="A98" s="14" t="str">
        <f t="shared" si="6"/>
        <v/>
      </c>
      <c r="B98" s="28"/>
      <c r="C98" s="28"/>
      <c r="D98" s="28"/>
      <c r="E98" s="22"/>
      <c r="F98" s="28"/>
      <c r="G98" s="28"/>
      <c r="H98" s="28"/>
      <c r="I98" s="28"/>
      <c r="J98" s="28"/>
      <c r="K98" s="28"/>
      <c r="L98" s="28"/>
      <c r="M98" s="17" t="str">
        <f t="shared" si="7"/>
        <v/>
      </c>
      <c r="P98" s="18" t="str">
        <f t="shared" si="3"/>
        <v/>
      </c>
      <c r="S98" s="18" t="str">
        <f t="shared" si="4"/>
        <v/>
      </c>
      <c r="T98" s="1"/>
      <c r="W98" s="14" t="str">
        <f t="shared" si="5"/>
        <v/>
      </c>
      <c r="X98" s="1"/>
    </row>
    <row r="99" ht="15.75" customHeight="1">
      <c r="A99" s="14" t="str">
        <f t="shared" si="6"/>
        <v/>
      </c>
      <c r="B99" s="28"/>
      <c r="C99" s="28"/>
      <c r="D99" s="28"/>
      <c r="E99" s="22"/>
      <c r="F99" s="28"/>
      <c r="G99" s="28"/>
      <c r="H99" s="28"/>
      <c r="I99" s="28"/>
      <c r="J99" s="28"/>
      <c r="K99" s="28"/>
      <c r="L99" s="28"/>
      <c r="M99" s="17" t="str">
        <f t="shared" si="7"/>
        <v/>
      </c>
      <c r="P99" s="18" t="str">
        <f t="shared" si="3"/>
        <v/>
      </c>
      <c r="S99" s="18" t="str">
        <f t="shared" si="4"/>
        <v/>
      </c>
      <c r="T99" s="1"/>
      <c r="W99" s="14" t="str">
        <f t="shared" si="5"/>
        <v/>
      </c>
      <c r="X99" s="1"/>
    </row>
    <row r="100" ht="15.75" customHeight="1">
      <c r="A100" s="14" t="str">
        <f t="shared" si="6"/>
        <v/>
      </c>
      <c r="B100" s="28"/>
      <c r="C100" s="28"/>
      <c r="D100" s="28"/>
      <c r="E100" s="22"/>
      <c r="F100" s="28"/>
      <c r="G100" s="28"/>
      <c r="H100" s="28"/>
      <c r="I100" s="28"/>
      <c r="J100" s="28"/>
      <c r="K100" s="28"/>
      <c r="L100" s="28"/>
      <c r="M100" s="17" t="str">
        <f t="shared" si="7"/>
        <v/>
      </c>
      <c r="P100" s="18" t="str">
        <f t="shared" si="3"/>
        <v/>
      </c>
      <c r="S100" s="18" t="str">
        <f t="shared" si="4"/>
        <v/>
      </c>
      <c r="T100" s="1"/>
      <c r="W100" s="14" t="str">
        <f t="shared" si="5"/>
        <v/>
      </c>
      <c r="X100" s="1"/>
    </row>
    <row r="101" ht="15.75" customHeight="1">
      <c r="A101" s="14" t="str">
        <f t="shared" si="6"/>
        <v/>
      </c>
      <c r="B101" s="28"/>
      <c r="C101" s="28"/>
      <c r="D101" s="28"/>
      <c r="E101" s="22"/>
      <c r="F101" s="28"/>
      <c r="G101" s="28"/>
      <c r="H101" s="28"/>
      <c r="I101" s="28"/>
      <c r="J101" s="28"/>
      <c r="K101" s="28"/>
      <c r="L101" s="28"/>
      <c r="M101" s="17" t="str">
        <f t="shared" si="7"/>
        <v/>
      </c>
      <c r="P101" s="18" t="str">
        <f t="shared" si="3"/>
        <v/>
      </c>
      <c r="S101" s="18" t="str">
        <f t="shared" si="4"/>
        <v/>
      </c>
      <c r="T101" s="1"/>
      <c r="W101" s="14" t="str">
        <f t="shared" si="5"/>
        <v/>
      </c>
      <c r="X101" s="1"/>
    </row>
    <row r="102" ht="15.75" customHeight="1">
      <c r="A102" s="14" t="str">
        <f t="shared" si="6"/>
        <v/>
      </c>
      <c r="B102" s="28"/>
      <c r="C102" s="28"/>
      <c r="D102" s="28"/>
      <c r="E102" s="22"/>
      <c r="F102" s="28"/>
      <c r="G102" s="28"/>
      <c r="H102" s="28"/>
      <c r="I102" s="28"/>
      <c r="J102" s="28"/>
      <c r="K102" s="28"/>
      <c r="L102" s="28"/>
      <c r="M102" s="17" t="str">
        <f t="shared" si="7"/>
        <v/>
      </c>
      <c r="P102" s="18" t="str">
        <f t="shared" si="3"/>
        <v/>
      </c>
      <c r="S102" s="18" t="str">
        <f t="shared" si="4"/>
        <v/>
      </c>
      <c r="T102" s="1"/>
      <c r="W102" s="14" t="str">
        <f t="shared" si="5"/>
        <v/>
      </c>
      <c r="X102" s="1"/>
    </row>
    <row r="103" ht="15.75" customHeight="1">
      <c r="A103" s="14" t="str">
        <f t="shared" si="6"/>
        <v/>
      </c>
      <c r="B103" s="28"/>
      <c r="C103" s="28"/>
      <c r="D103" s="28"/>
      <c r="E103" s="22"/>
      <c r="F103" s="28"/>
      <c r="G103" s="28"/>
      <c r="H103" s="28"/>
      <c r="I103" s="28"/>
      <c r="J103" s="28"/>
      <c r="K103" s="28"/>
      <c r="L103" s="28"/>
      <c r="M103" s="17" t="str">
        <f t="shared" si="7"/>
        <v/>
      </c>
      <c r="P103" s="18" t="str">
        <f t="shared" si="3"/>
        <v/>
      </c>
      <c r="S103" s="18" t="str">
        <f t="shared" si="4"/>
        <v/>
      </c>
      <c r="T103" s="1"/>
      <c r="W103" s="14" t="str">
        <f t="shared" si="5"/>
        <v/>
      </c>
      <c r="X103" s="1"/>
    </row>
    <row r="104" ht="15.75" customHeight="1">
      <c r="A104" s="14" t="str">
        <f t="shared" si="6"/>
        <v/>
      </c>
      <c r="B104" s="28"/>
      <c r="C104" s="28"/>
      <c r="D104" s="28"/>
      <c r="E104" s="22"/>
      <c r="F104" s="28"/>
      <c r="G104" s="28"/>
      <c r="H104" s="28"/>
      <c r="I104" s="28"/>
      <c r="J104" s="28"/>
      <c r="K104" s="28"/>
      <c r="L104" s="28"/>
      <c r="M104" s="17" t="str">
        <f t="shared" si="7"/>
        <v/>
      </c>
      <c r="P104" s="18" t="str">
        <f t="shared" si="3"/>
        <v/>
      </c>
      <c r="S104" s="18" t="str">
        <f t="shared" si="4"/>
        <v/>
      </c>
      <c r="T104" s="1"/>
      <c r="W104" s="14" t="str">
        <f t="shared" si="5"/>
        <v/>
      </c>
      <c r="X104" s="1"/>
    </row>
    <row r="105" ht="15.75" customHeight="1">
      <c r="B105" s="28"/>
      <c r="C105" s="28"/>
      <c r="D105" s="28"/>
      <c r="E105" s="22"/>
      <c r="F105" s="28"/>
      <c r="G105" s="28"/>
      <c r="H105" s="28"/>
      <c r="I105" s="28"/>
      <c r="J105" s="28"/>
      <c r="K105" s="28"/>
      <c r="L105" s="28"/>
      <c r="M105" s="17" t="str">
        <f t="shared" si="7"/>
        <v/>
      </c>
      <c r="P105" s="18" t="str">
        <f t="shared" si="3"/>
        <v/>
      </c>
      <c r="S105" s="18" t="str">
        <f t="shared" si="4"/>
        <v/>
      </c>
      <c r="T105" s="1"/>
      <c r="W105" s="14" t="str">
        <f t="shared" si="5"/>
        <v/>
      </c>
      <c r="X105" s="1"/>
    </row>
    <row r="106" ht="15.75" customHeight="1">
      <c r="B106" s="28"/>
      <c r="C106" s="28"/>
      <c r="D106" s="28"/>
      <c r="E106" s="22"/>
      <c r="F106" s="28"/>
      <c r="G106" s="28"/>
      <c r="H106" s="28"/>
      <c r="I106" s="28"/>
      <c r="J106" s="28"/>
      <c r="K106" s="28"/>
      <c r="L106" s="28"/>
      <c r="M106" s="17" t="str">
        <f t="shared" si="7"/>
        <v/>
      </c>
      <c r="P106" s="18" t="str">
        <f t="shared" si="3"/>
        <v/>
      </c>
      <c r="S106" s="18" t="str">
        <f t="shared" si="4"/>
        <v/>
      </c>
      <c r="T106" s="1"/>
      <c r="W106" s="14" t="str">
        <f t="shared" si="5"/>
        <v/>
      </c>
      <c r="X106" s="1"/>
    </row>
    <row r="107" ht="15.75" customHeight="1">
      <c r="C107" s="1"/>
      <c r="D107" s="1"/>
      <c r="E107" s="22"/>
      <c r="F107" s="1"/>
      <c r="G107" s="1"/>
      <c r="L107" s="28"/>
      <c r="M107" s="17" t="str">
        <f t="shared" si="7"/>
        <v/>
      </c>
      <c r="S107" s="18" t="str">
        <f t="shared" si="4"/>
        <v/>
      </c>
      <c r="T107" s="1"/>
      <c r="W107" s="14" t="str">
        <f t="shared" si="5"/>
        <v/>
      </c>
      <c r="X107" s="1"/>
    </row>
    <row r="108" ht="15.75" customHeight="1">
      <c r="C108" s="1"/>
      <c r="D108" s="1"/>
      <c r="E108" s="22"/>
      <c r="F108" s="1"/>
      <c r="G108" s="1"/>
      <c r="L108" s="28"/>
      <c r="M108" s="17" t="str">
        <f t="shared" si="7"/>
        <v/>
      </c>
      <c r="S108" s="18" t="str">
        <f t="shared" si="4"/>
        <v/>
      </c>
      <c r="T108" s="1"/>
      <c r="W108" s="14" t="str">
        <f t="shared" si="5"/>
        <v/>
      </c>
      <c r="X108" s="1"/>
    </row>
    <row r="109" ht="15.75" customHeight="1">
      <c r="C109" s="1"/>
      <c r="D109" s="1"/>
      <c r="E109" s="22"/>
      <c r="F109" s="1"/>
      <c r="G109" s="1"/>
      <c r="L109" s="28"/>
      <c r="M109" s="17" t="str">
        <f t="shared" si="7"/>
        <v/>
      </c>
      <c r="S109" s="18" t="str">
        <f t="shared" si="4"/>
        <v/>
      </c>
      <c r="T109" s="1"/>
      <c r="W109" s="14" t="str">
        <f t="shared" si="5"/>
        <v/>
      </c>
      <c r="X109" s="1"/>
    </row>
    <row r="110" ht="15.75" customHeight="1">
      <c r="C110" s="1"/>
      <c r="D110" s="1"/>
      <c r="E110" s="22"/>
      <c r="F110" s="1"/>
      <c r="G110" s="1"/>
      <c r="L110" s="28"/>
      <c r="M110" s="17" t="str">
        <f t="shared" si="7"/>
        <v/>
      </c>
      <c r="S110" s="18" t="str">
        <f t="shared" si="4"/>
        <v/>
      </c>
      <c r="T110" s="1"/>
      <c r="W110" s="14" t="str">
        <f t="shared" si="5"/>
        <v/>
      </c>
      <c r="X110" s="1"/>
    </row>
    <row r="111" ht="15.75" customHeight="1">
      <c r="C111" s="1"/>
      <c r="D111" s="1"/>
      <c r="E111" s="22"/>
      <c r="F111" s="1"/>
      <c r="G111" s="1"/>
      <c r="L111" s="28"/>
      <c r="M111" s="17" t="str">
        <f t="shared" si="7"/>
        <v/>
      </c>
      <c r="S111" s="18" t="str">
        <f t="shared" si="4"/>
        <v/>
      </c>
      <c r="T111" s="1"/>
      <c r="W111" s="14" t="str">
        <f t="shared" si="5"/>
        <v/>
      </c>
      <c r="X111" s="1"/>
    </row>
    <row r="112" ht="15.75" customHeight="1">
      <c r="C112" s="1"/>
      <c r="D112" s="1"/>
      <c r="E112" s="22"/>
      <c r="F112" s="1"/>
      <c r="G112" s="1"/>
      <c r="L112" s="28"/>
      <c r="M112" s="17" t="str">
        <f t="shared" si="7"/>
        <v/>
      </c>
      <c r="S112" s="18" t="str">
        <f t="shared" si="4"/>
        <v/>
      </c>
      <c r="T112" s="1"/>
      <c r="X112" s="1"/>
    </row>
    <row r="113" ht="15.75" customHeight="1">
      <c r="C113" s="1"/>
      <c r="D113" s="1"/>
      <c r="E113" s="22"/>
      <c r="F113" s="1"/>
      <c r="G113" s="1"/>
      <c r="L113" s="28"/>
      <c r="M113" s="17" t="str">
        <f t="shared" si="7"/>
        <v/>
      </c>
      <c r="S113" s="18" t="str">
        <f t="shared" si="4"/>
        <v/>
      </c>
      <c r="T113" s="1"/>
      <c r="X113" s="1"/>
    </row>
    <row r="114" ht="15.75" customHeight="1">
      <c r="C114" s="1"/>
      <c r="D114" s="1"/>
      <c r="E114" s="22"/>
      <c r="F114" s="1"/>
      <c r="G114" s="1"/>
      <c r="L114" s="28"/>
      <c r="S114" s="18" t="str">
        <f t="shared" si="4"/>
        <v/>
      </c>
      <c r="T114" s="1"/>
      <c r="X114" s="1"/>
    </row>
    <row r="115" ht="15.75" customHeight="1">
      <c r="C115" s="1"/>
      <c r="D115" s="1"/>
      <c r="E115" s="22"/>
      <c r="F115" s="1"/>
      <c r="G115" s="1"/>
      <c r="L115" s="28"/>
      <c r="S115" s="18" t="str">
        <f t="shared" si="4"/>
        <v/>
      </c>
      <c r="T115" s="1"/>
      <c r="X115" s="1"/>
    </row>
    <row r="116" ht="15.75" customHeight="1">
      <c r="C116" s="1"/>
      <c r="D116" s="1"/>
      <c r="E116" s="22"/>
      <c r="F116" s="1"/>
      <c r="G116" s="1"/>
      <c r="L116" s="28"/>
      <c r="S116" s="18" t="str">
        <f t="shared" si="4"/>
        <v/>
      </c>
      <c r="T116" s="1"/>
      <c r="X116" s="1"/>
    </row>
    <row r="117" ht="15.75" customHeight="1">
      <c r="C117" s="1"/>
      <c r="D117" s="1"/>
      <c r="E117" s="22"/>
      <c r="F117" s="1"/>
      <c r="G117" s="1"/>
      <c r="L117" s="28"/>
      <c r="S117" s="18" t="str">
        <f t="shared" si="4"/>
        <v/>
      </c>
      <c r="T117" s="1"/>
      <c r="X117" s="1"/>
    </row>
    <row r="118" ht="15.75" customHeight="1">
      <c r="C118" s="1"/>
      <c r="D118" s="1"/>
      <c r="E118" s="22"/>
      <c r="F118" s="1"/>
      <c r="G118" s="1"/>
      <c r="L118" s="28"/>
      <c r="S118" s="18" t="str">
        <f t="shared" si="4"/>
        <v/>
      </c>
      <c r="T118" s="1"/>
      <c r="X118" s="1"/>
    </row>
    <row r="119" ht="15.75" customHeight="1">
      <c r="C119" s="1"/>
      <c r="D119" s="1"/>
      <c r="E119" s="22"/>
      <c r="F119" s="1"/>
      <c r="G119" s="1"/>
      <c r="L119" s="28"/>
      <c r="S119" s="18" t="str">
        <f t="shared" si="4"/>
        <v/>
      </c>
      <c r="T119" s="1"/>
      <c r="X119" s="1"/>
    </row>
    <row r="120" ht="15.75" customHeight="1">
      <c r="C120" s="1"/>
      <c r="D120" s="1"/>
      <c r="E120" s="22"/>
      <c r="F120" s="1"/>
      <c r="G120" s="1"/>
      <c r="L120" s="28"/>
      <c r="S120" s="18" t="str">
        <f t="shared" si="4"/>
        <v/>
      </c>
      <c r="T120" s="1"/>
      <c r="X120" s="1"/>
    </row>
    <row r="121" ht="15.75" customHeight="1">
      <c r="C121" s="1"/>
      <c r="D121" s="1"/>
      <c r="E121" s="22"/>
      <c r="F121" s="1"/>
      <c r="G121" s="1"/>
      <c r="L121" s="28"/>
      <c r="S121" s="18" t="str">
        <f t="shared" si="4"/>
        <v/>
      </c>
      <c r="T121" s="1"/>
      <c r="X121" s="1"/>
    </row>
    <row r="122" ht="15.75" customHeight="1">
      <c r="C122" s="1"/>
      <c r="D122" s="1"/>
      <c r="E122" s="22"/>
      <c r="F122" s="1"/>
      <c r="G122" s="1"/>
      <c r="L122" s="28"/>
      <c r="T122" s="1"/>
      <c r="X122" s="1"/>
    </row>
    <row r="123" ht="15.75" customHeight="1">
      <c r="C123" s="1"/>
      <c r="D123" s="1"/>
      <c r="E123" s="22"/>
      <c r="F123" s="1"/>
      <c r="G123" s="1"/>
      <c r="L123" s="28"/>
      <c r="T123" s="1"/>
      <c r="X123" s="1"/>
    </row>
    <row r="124" ht="15.75" customHeight="1">
      <c r="C124" s="1"/>
      <c r="D124" s="1"/>
      <c r="E124" s="22"/>
      <c r="F124" s="1"/>
      <c r="G124" s="1"/>
      <c r="L124" s="28"/>
      <c r="T124" s="1"/>
      <c r="X124" s="1"/>
    </row>
    <row r="125" ht="15.75" customHeight="1">
      <c r="C125" s="1"/>
      <c r="D125" s="1"/>
      <c r="E125" s="22"/>
      <c r="F125" s="1"/>
      <c r="G125" s="1"/>
      <c r="L125" s="28"/>
      <c r="T125" s="1"/>
      <c r="X125" s="1"/>
    </row>
    <row r="126" ht="15.75" customHeight="1">
      <c r="C126" s="1"/>
      <c r="D126" s="1"/>
      <c r="E126" s="22"/>
      <c r="F126" s="1"/>
      <c r="G126" s="1"/>
      <c r="L126" s="28"/>
      <c r="T126" s="1"/>
      <c r="X126" s="1"/>
    </row>
    <row r="127" ht="15.75" customHeight="1">
      <c r="C127" s="1"/>
      <c r="D127" s="1"/>
      <c r="E127" s="22"/>
      <c r="F127" s="1"/>
      <c r="G127" s="1"/>
      <c r="L127" s="28"/>
      <c r="T127" s="1"/>
      <c r="X127" s="1"/>
    </row>
    <row r="128" ht="15.75" customHeight="1">
      <c r="C128" s="1"/>
      <c r="D128" s="1"/>
      <c r="E128" s="22"/>
      <c r="F128" s="1"/>
      <c r="G128" s="1"/>
      <c r="L128" s="28"/>
      <c r="T128" s="1"/>
      <c r="X128" s="1"/>
    </row>
    <row r="129" ht="15.75" customHeight="1">
      <c r="C129" s="1"/>
      <c r="D129" s="1"/>
      <c r="E129" s="22"/>
      <c r="F129" s="1"/>
      <c r="G129" s="1"/>
      <c r="L129" s="28"/>
      <c r="T129" s="1"/>
      <c r="X129" s="1"/>
    </row>
    <row r="130" ht="15.75" customHeight="1">
      <c r="C130" s="1"/>
      <c r="D130" s="1"/>
      <c r="E130" s="22"/>
      <c r="F130" s="1"/>
      <c r="G130" s="1"/>
      <c r="L130" s="28"/>
      <c r="T130" s="1"/>
      <c r="X130" s="1"/>
    </row>
    <row r="131" ht="15.75" customHeight="1">
      <c r="C131" s="1"/>
      <c r="D131" s="1"/>
      <c r="E131" s="22"/>
      <c r="F131" s="1"/>
      <c r="G131" s="1"/>
      <c r="L131" s="28"/>
      <c r="T131" s="1"/>
      <c r="X131" s="1"/>
    </row>
    <row r="132" ht="15.75" customHeight="1">
      <c r="C132" s="1"/>
      <c r="D132" s="1"/>
      <c r="E132" s="1"/>
      <c r="F132" s="1"/>
      <c r="G132" s="1"/>
      <c r="T132" s="1"/>
      <c r="X132" s="1"/>
    </row>
    <row r="133" ht="15.75" customHeight="1">
      <c r="C133" s="1"/>
      <c r="D133" s="1"/>
      <c r="E133" s="1"/>
      <c r="F133" s="1"/>
      <c r="G133" s="1"/>
      <c r="T133" s="1"/>
      <c r="X133" s="1"/>
    </row>
    <row r="134" ht="15.75" customHeight="1">
      <c r="C134" s="1"/>
      <c r="D134" s="1"/>
      <c r="E134" s="1"/>
      <c r="F134" s="1"/>
      <c r="G134" s="1"/>
      <c r="T134" s="1"/>
      <c r="X134" s="1"/>
    </row>
    <row r="135" ht="15.75" customHeight="1">
      <c r="C135" s="1"/>
      <c r="D135" s="1"/>
      <c r="E135" s="1"/>
      <c r="F135" s="1"/>
      <c r="G135" s="1"/>
      <c r="T135" s="1"/>
      <c r="X135" s="1"/>
    </row>
    <row r="136" ht="15.75" customHeight="1">
      <c r="C136" s="1"/>
      <c r="D136" s="1"/>
      <c r="E136" s="1"/>
      <c r="F136" s="1"/>
      <c r="G136" s="1"/>
      <c r="T136" s="1"/>
      <c r="X136" s="1"/>
    </row>
    <row r="137" ht="15.75" customHeight="1">
      <c r="C137" s="1"/>
      <c r="D137" s="1"/>
      <c r="E137" s="1"/>
      <c r="F137" s="1"/>
      <c r="G137" s="1"/>
      <c r="T137" s="1"/>
      <c r="X137" s="1"/>
    </row>
    <row r="138" ht="15.75" customHeight="1">
      <c r="C138" s="1"/>
      <c r="D138" s="1"/>
      <c r="E138" s="1"/>
      <c r="F138" s="1"/>
      <c r="G138" s="1"/>
      <c r="T138" s="1"/>
      <c r="X138" s="1"/>
    </row>
    <row r="139" ht="15.75" customHeight="1">
      <c r="C139" s="1"/>
      <c r="D139" s="1"/>
      <c r="E139" s="1"/>
      <c r="F139" s="1"/>
      <c r="G139" s="1"/>
      <c r="T139" s="1"/>
      <c r="X139" s="1"/>
    </row>
    <row r="140" ht="15.75" customHeight="1">
      <c r="C140" s="1"/>
      <c r="D140" s="1"/>
      <c r="E140" s="1"/>
      <c r="F140" s="1"/>
      <c r="G140" s="1"/>
      <c r="T140" s="1"/>
      <c r="X140" s="1"/>
    </row>
    <row r="141" ht="15.75" customHeight="1">
      <c r="C141" s="1"/>
      <c r="D141" s="1"/>
      <c r="E141" s="1"/>
      <c r="F141" s="1"/>
      <c r="G141" s="1"/>
      <c r="T141" s="1"/>
      <c r="X141" s="1"/>
    </row>
    <row r="142" ht="15.75" customHeight="1">
      <c r="C142" s="1"/>
      <c r="D142" s="1"/>
      <c r="E142" s="1"/>
      <c r="F142" s="1"/>
      <c r="G142" s="1"/>
      <c r="T142" s="1"/>
      <c r="X142" s="1"/>
    </row>
    <row r="143" ht="15.75" customHeight="1">
      <c r="C143" s="1"/>
      <c r="D143" s="1"/>
      <c r="E143" s="1"/>
      <c r="F143" s="1"/>
      <c r="G143" s="1"/>
      <c r="T143" s="1"/>
      <c r="X143" s="1"/>
    </row>
    <row r="144" ht="15.75" customHeight="1">
      <c r="C144" s="1"/>
      <c r="D144" s="1"/>
      <c r="E144" s="1"/>
      <c r="F144" s="1"/>
      <c r="G144" s="1"/>
      <c r="T144" s="1"/>
      <c r="X144" s="1"/>
    </row>
    <row r="145" ht="15.75" customHeight="1">
      <c r="C145" s="1"/>
      <c r="D145" s="1"/>
      <c r="E145" s="1"/>
      <c r="F145" s="1"/>
      <c r="G145" s="1"/>
      <c r="T145" s="1"/>
      <c r="X145" s="1"/>
    </row>
    <row r="146" ht="15.75" customHeight="1">
      <c r="C146" s="1"/>
      <c r="D146" s="1"/>
      <c r="E146" s="1"/>
      <c r="F146" s="1"/>
      <c r="G146" s="1"/>
      <c r="T146" s="1"/>
      <c r="X146" s="1"/>
    </row>
    <row r="147" ht="15.75" customHeight="1">
      <c r="C147" s="1"/>
      <c r="D147" s="1"/>
      <c r="E147" s="1"/>
      <c r="F147" s="1"/>
      <c r="G147" s="1"/>
      <c r="T147" s="1"/>
      <c r="X147" s="1"/>
    </row>
    <row r="148" ht="15.75" customHeight="1">
      <c r="C148" s="1"/>
      <c r="D148" s="1"/>
      <c r="E148" s="1"/>
      <c r="F148" s="1"/>
      <c r="G148" s="1"/>
      <c r="T148" s="1"/>
      <c r="X148" s="1"/>
    </row>
    <row r="149" ht="15.75" customHeight="1">
      <c r="C149" s="1"/>
      <c r="D149" s="1"/>
      <c r="E149" s="1"/>
      <c r="F149" s="1"/>
      <c r="G149" s="1"/>
      <c r="T149" s="1"/>
      <c r="X149" s="1"/>
    </row>
    <row r="150" ht="15.75" customHeight="1">
      <c r="C150" s="1"/>
      <c r="D150" s="1"/>
      <c r="E150" s="1"/>
      <c r="F150" s="1"/>
      <c r="G150" s="1"/>
      <c r="T150" s="1"/>
      <c r="X150" s="1"/>
    </row>
    <row r="151" ht="15.75" customHeight="1">
      <c r="C151" s="1"/>
      <c r="D151" s="1"/>
      <c r="E151" s="1"/>
      <c r="F151" s="1"/>
      <c r="G151" s="1"/>
      <c r="T151" s="1"/>
      <c r="X151" s="1"/>
    </row>
    <row r="152" ht="15.75" customHeight="1">
      <c r="C152" s="1"/>
      <c r="D152" s="1"/>
      <c r="E152" s="1"/>
      <c r="F152" s="1"/>
      <c r="G152" s="1"/>
      <c r="T152" s="1"/>
      <c r="X152" s="1"/>
    </row>
    <row r="153" ht="15.75" customHeight="1">
      <c r="C153" s="1"/>
      <c r="D153" s="1"/>
      <c r="E153" s="1"/>
      <c r="F153" s="1"/>
      <c r="G153" s="1"/>
      <c r="T153" s="1"/>
      <c r="X153" s="1"/>
    </row>
    <row r="154" ht="15.75" customHeight="1">
      <c r="C154" s="1"/>
      <c r="D154" s="1"/>
      <c r="E154" s="1"/>
      <c r="F154" s="1"/>
      <c r="G154" s="1"/>
      <c r="T154" s="1"/>
      <c r="X154" s="1"/>
    </row>
    <row r="155" ht="15.75" customHeight="1">
      <c r="C155" s="1"/>
      <c r="D155" s="1"/>
      <c r="E155" s="1"/>
      <c r="F155" s="1"/>
      <c r="G155" s="1"/>
      <c r="T155" s="1"/>
      <c r="X155" s="1"/>
    </row>
    <row r="156" ht="15.75" customHeight="1">
      <c r="C156" s="1"/>
      <c r="D156" s="1"/>
      <c r="E156" s="1"/>
      <c r="F156" s="1"/>
      <c r="G156" s="1"/>
      <c r="T156" s="1"/>
      <c r="X156" s="1"/>
    </row>
    <row r="157" ht="15.75" customHeight="1">
      <c r="C157" s="1"/>
      <c r="D157" s="1"/>
      <c r="E157" s="1"/>
      <c r="F157" s="1"/>
      <c r="G157" s="1"/>
      <c r="T157" s="1"/>
      <c r="X157" s="1"/>
    </row>
    <row r="158" ht="15.75" customHeight="1">
      <c r="C158" s="1"/>
      <c r="D158" s="1"/>
      <c r="E158" s="1"/>
      <c r="F158" s="1"/>
      <c r="G158" s="1"/>
      <c r="T158" s="1"/>
      <c r="X158" s="1"/>
    </row>
    <row r="159" ht="15.75" customHeight="1">
      <c r="C159" s="1"/>
      <c r="D159" s="1"/>
      <c r="E159" s="1"/>
      <c r="F159" s="1"/>
      <c r="G159" s="1"/>
      <c r="T159" s="1"/>
      <c r="X159" s="1"/>
    </row>
    <row r="160" ht="15.75" customHeight="1">
      <c r="C160" s="1"/>
      <c r="D160" s="1"/>
      <c r="E160" s="1"/>
      <c r="F160" s="1"/>
      <c r="G160" s="1"/>
      <c r="T160" s="1"/>
      <c r="X160" s="1"/>
    </row>
    <row r="161" ht="15.75" customHeight="1">
      <c r="C161" s="1"/>
      <c r="D161" s="1"/>
      <c r="E161" s="1"/>
      <c r="F161" s="1"/>
      <c r="G161" s="1"/>
      <c r="T161" s="1"/>
      <c r="X161" s="1"/>
    </row>
    <row r="162" ht="15.75" customHeight="1">
      <c r="C162" s="1"/>
      <c r="D162" s="1"/>
      <c r="E162" s="1"/>
      <c r="F162" s="1"/>
      <c r="G162" s="1"/>
      <c r="T162" s="1"/>
      <c r="X162" s="1"/>
    </row>
    <row r="163" ht="15.75" customHeight="1">
      <c r="C163" s="1"/>
      <c r="D163" s="1"/>
      <c r="E163" s="1"/>
      <c r="F163" s="1"/>
      <c r="G163" s="1"/>
      <c r="T163" s="1"/>
      <c r="X163" s="1"/>
    </row>
    <row r="164" ht="15.75" customHeight="1">
      <c r="C164" s="1"/>
      <c r="D164" s="1"/>
      <c r="E164" s="1"/>
      <c r="F164" s="1"/>
      <c r="G164" s="1"/>
      <c r="T164" s="1"/>
      <c r="X164" s="1"/>
    </row>
    <row r="165" ht="15.75" customHeight="1">
      <c r="C165" s="1"/>
      <c r="D165" s="1"/>
      <c r="E165" s="1"/>
      <c r="F165" s="1"/>
      <c r="G165" s="1"/>
      <c r="T165" s="1"/>
      <c r="X165" s="1"/>
    </row>
    <row r="166" ht="15.75" customHeight="1">
      <c r="C166" s="1"/>
      <c r="D166" s="1"/>
      <c r="E166" s="1"/>
      <c r="F166" s="1"/>
      <c r="G166" s="1"/>
      <c r="T166" s="1"/>
      <c r="X166" s="1"/>
    </row>
    <row r="167" ht="15.75" customHeight="1">
      <c r="C167" s="1"/>
      <c r="D167" s="1"/>
      <c r="E167" s="1"/>
      <c r="F167" s="1"/>
      <c r="G167" s="1"/>
      <c r="T167" s="1"/>
      <c r="X167" s="1"/>
    </row>
    <row r="168" ht="15.75" customHeight="1">
      <c r="C168" s="1"/>
      <c r="D168" s="1"/>
      <c r="E168" s="1"/>
      <c r="F168" s="1"/>
      <c r="G168" s="1"/>
      <c r="T168" s="1"/>
      <c r="X168" s="1"/>
    </row>
    <row r="169" ht="15.75" customHeight="1">
      <c r="C169" s="1"/>
      <c r="D169" s="1"/>
      <c r="E169" s="1"/>
      <c r="F169" s="1"/>
      <c r="G169" s="1"/>
      <c r="T169" s="1"/>
      <c r="X169" s="1"/>
    </row>
    <row r="170" ht="15.75" customHeight="1">
      <c r="C170" s="1"/>
      <c r="D170" s="1"/>
      <c r="E170" s="1"/>
      <c r="F170" s="1"/>
      <c r="G170" s="1"/>
      <c r="T170" s="1"/>
      <c r="X170" s="1"/>
    </row>
    <row r="171" ht="15.75" customHeight="1">
      <c r="C171" s="1"/>
      <c r="D171" s="1"/>
      <c r="E171" s="1"/>
      <c r="F171" s="1"/>
      <c r="G171" s="1"/>
      <c r="T171" s="1"/>
      <c r="X171" s="1"/>
    </row>
    <row r="172" ht="15.75" customHeight="1">
      <c r="C172" s="1"/>
      <c r="D172" s="1"/>
      <c r="E172" s="1"/>
      <c r="F172" s="1"/>
      <c r="G172" s="1"/>
      <c r="T172" s="1"/>
      <c r="X172" s="1"/>
    </row>
    <row r="173" ht="15.75" customHeight="1">
      <c r="C173" s="1"/>
      <c r="D173" s="1"/>
      <c r="E173" s="1"/>
      <c r="F173" s="1"/>
      <c r="G173" s="1"/>
      <c r="T173" s="1"/>
      <c r="X173" s="1"/>
    </row>
    <row r="174" ht="15.75" customHeight="1">
      <c r="C174" s="1"/>
      <c r="D174" s="1"/>
      <c r="E174" s="1"/>
      <c r="F174" s="1"/>
      <c r="G174" s="1"/>
      <c r="T174" s="1"/>
      <c r="X174" s="1"/>
    </row>
    <row r="175" ht="15.75" customHeight="1">
      <c r="C175" s="1"/>
      <c r="D175" s="1"/>
      <c r="E175" s="1"/>
      <c r="F175" s="1"/>
      <c r="G175" s="1"/>
      <c r="T175" s="1"/>
      <c r="X175" s="1"/>
    </row>
    <row r="176" ht="15.75" customHeight="1">
      <c r="C176" s="1"/>
      <c r="D176" s="1"/>
      <c r="E176" s="1"/>
      <c r="F176" s="1"/>
      <c r="G176" s="1"/>
      <c r="T176" s="1"/>
      <c r="X176" s="1"/>
    </row>
    <row r="177" ht="15.75" customHeight="1">
      <c r="C177" s="1"/>
      <c r="D177" s="1"/>
      <c r="E177" s="1"/>
      <c r="F177" s="1"/>
      <c r="G177" s="1"/>
      <c r="T177" s="1"/>
      <c r="X177" s="1"/>
    </row>
    <row r="178" ht="15.75" customHeight="1">
      <c r="C178" s="1"/>
      <c r="D178" s="1"/>
      <c r="E178" s="1"/>
      <c r="F178" s="1"/>
      <c r="G178" s="1"/>
      <c r="T178" s="1"/>
      <c r="X178" s="1"/>
    </row>
    <row r="179" ht="15.75" customHeight="1">
      <c r="C179" s="1"/>
      <c r="D179" s="1"/>
      <c r="E179" s="1"/>
      <c r="F179" s="1"/>
      <c r="G179" s="1"/>
      <c r="T179" s="1"/>
      <c r="X179" s="1"/>
    </row>
    <row r="180" ht="15.75" customHeight="1">
      <c r="C180" s="1"/>
      <c r="D180" s="1"/>
      <c r="E180" s="1"/>
      <c r="F180" s="1"/>
      <c r="G180" s="1"/>
      <c r="T180" s="1"/>
      <c r="X180" s="1"/>
    </row>
    <row r="181" ht="15.75" customHeight="1">
      <c r="C181" s="1"/>
      <c r="D181" s="1"/>
      <c r="E181" s="1"/>
      <c r="F181" s="1"/>
      <c r="G181" s="1"/>
      <c r="T181" s="1"/>
      <c r="X181" s="1"/>
    </row>
    <row r="182" ht="15.75" customHeight="1">
      <c r="C182" s="1"/>
      <c r="D182" s="1"/>
      <c r="E182" s="1"/>
      <c r="F182" s="1"/>
      <c r="G182" s="1"/>
      <c r="T182" s="1"/>
      <c r="X182" s="1"/>
    </row>
    <row r="183" ht="15.75" customHeight="1">
      <c r="C183" s="1"/>
      <c r="D183" s="1"/>
      <c r="E183" s="1"/>
      <c r="F183" s="1"/>
      <c r="G183" s="1"/>
      <c r="T183" s="1"/>
      <c r="X183" s="1"/>
    </row>
    <row r="184" ht="15.75" customHeight="1">
      <c r="C184" s="1"/>
      <c r="D184" s="1"/>
      <c r="E184" s="1"/>
      <c r="F184" s="1"/>
      <c r="G184" s="1"/>
      <c r="T184" s="1"/>
      <c r="X184" s="1"/>
    </row>
    <row r="185" ht="15.75" customHeight="1">
      <c r="C185" s="1"/>
      <c r="D185" s="1"/>
      <c r="E185" s="1"/>
      <c r="F185" s="1"/>
      <c r="G185" s="1"/>
      <c r="T185" s="1"/>
      <c r="X185" s="1"/>
    </row>
    <row r="186" ht="15.75" customHeight="1">
      <c r="C186" s="1"/>
      <c r="D186" s="1"/>
      <c r="E186" s="1"/>
      <c r="F186" s="1"/>
      <c r="G186" s="1"/>
      <c r="T186" s="1"/>
      <c r="X186" s="1"/>
    </row>
    <row r="187" ht="15.75" customHeight="1">
      <c r="C187" s="1"/>
      <c r="D187" s="1"/>
      <c r="E187" s="1"/>
      <c r="F187" s="1"/>
      <c r="G187" s="1"/>
      <c r="T187" s="1"/>
      <c r="X187" s="1"/>
    </row>
    <row r="188" ht="15.75" customHeight="1">
      <c r="C188" s="1"/>
      <c r="D188" s="1"/>
      <c r="E188" s="1"/>
      <c r="F188" s="1"/>
      <c r="G188" s="1"/>
      <c r="T188" s="1"/>
      <c r="X188" s="1"/>
    </row>
    <row r="189" ht="15.75" customHeight="1">
      <c r="C189" s="1"/>
      <c r="D189" s="1"/>
      <c r="E189" s="1"/>
      <c r="F189" s="1"/>
      <c r="G189" s="1"/>
      <c r="T189" s="1"/>
      <c r="X189" s="1"/>
    </row>
    <row r="190" ht="15.75" customHeight="1">
      <c r="C190" s="1"/>
      <c r="D190" s="1"/>
      <c r="E190" s="1"/>
      <c r="F190" s="1"/>
      <c r="G190" s="1"/>
      <c r="T190" s="1"/>
      <c r="X190" s="1"/>
    </row>
    <row r="191" ht="15.75" customHeight="1">
      <c r="C191" s="1"/>
      <c r="D191" s="1"/>
      <c r="E191" s="1"/>
      <c r="F191" s="1"/>
      <c r="G191" s="1"/>
      <c r="T191" s="1"/>
      <c r="X191" s="1"/>
    </row>
    <row r="192" ht="15.75" customHeight="1">
      <c r="C192" s="1"/>
      <c r="D192" s="1"/>
      <c r="E192" s="1"/>
      <c r="F192" s="1"/>
      <c r="G192" s="1"/>
      <c r="T192" s="1"/>
      <c r="X192" s="1"/>
    </row>
    <row r="193" ht="15.75" customHeight="1">
      <c r="C193" s="1"/>
      <c r="D193" s="1"/>
      <c r="E193" s="1"/>
      <c r="F193" s="1"/>
      <c r="G193" s="1"/>
      <c r="T193" s="1"/>
      <c r="X193" s="1"/>
    </row>
    <row r="194" ht="15.75" customHeight="1">
      <c r="C194" s="1"/>
      <c r="D194" s="1"/>
      <c r="E194" s="1"/>
      <c r="F194" s="1"/>
      <c r="G194" s="1"/>
      <c r="T194" s="1"/>
      <c r="X194" s="1"/>
    </row>
    <row r="195" ht="15.75" customHeight="1">
      <c r="C195" s="1"/>
      <c r="D195" s="1"/>
      <c r="E195" s="1"/>
      <c r="F195" s="1"/>
      <c r="G195" s="1"/>
      <c r="T195" s="1"/>
      <c r="X195" s="1"/>
    </row>
    <row r="196" ht="15.75" customHeight="1">
      <c r="C196" s="1"/>
      <c r="D196" s="1"/>
      <c r="E196" s="1"/>
      <c r="F196" s="1"/>
      <c r="G196" s="1"/>
      <c r="T196" s="1"/>
      <c r="X196" s="1"/>
    </row>
    <row r="197" ht="15.75" customHeight="1">
      <c r="C197" s="1"/>
      <c r="D197" s="1"/>
      <c r="E197" s="1"/>
      <c r="F197" s="1"/>
      <c r="G197" s="1"/>
      <c r="T197" s="1"/>
      <c r="X197" s="1"/>
    </row>
    <row r="198" ht="15.75" customHeight="1">
      <c r="C198" s="1"/>
      <c r="D198" s="1"/>
      <c r="E198" s="1"/>
      <c r="F198" s="1"/>
      <c r="G198" s="1"/>
      <c r="T198" s="1"/>
      <c r="X198" s="1"/>
    </row>
    <row r="199" ht="15.75" customHeight="1">
      <c r="C199" s="1"/>
      <c r="D199" s="1"/>
      <c r="E199" s="1"/>
      <c r="F199" s="1"/>
      <c r="G199" s="1"/>
      <c r="T199" s="1"/>
      <c r="X199" s="1"/>
    </row>
    <row r="200" ht="15.75" customHeight="1">
      <c r="C200" s="1"/>
      <c r="D200" s="1"/>
      <c r="E200" s="1"/>
      <c r="F200" s="1"/>
      <c r="G200" s="1"/>
      <c r="T200" s="1"/>
      <c r="X200" s="1"/>
    </row>
    <row r="201" ht="15.75" customHeight="1">
      <c r="C201" s="1"/>
      <c r="D201" s="1"/>
      <c r="E201" s="1"/>
      <c r="F201" s="1"/>
      <c r="G201" s="1"/>
      <c r="T201" s="1"/>
      <c r="X201" s="1"/>
    </row>
    <row r="202" ht="15.75" customHeight="1">
      <c r="C202" s="1"/>
      <c r="D202" s="1"/>
      <c r="E202" s="1"/>
      <c r="F202" s="1"/>
      <c r="G202" s="1"/>
      <c r="T202" s="1"/>
      <c r="X202" s="1"/>
    </row>
    <row r="203" ht="15.75" customHeight="1">
      <c r="C203" s="1"/>
      <c r="D203" s="1"/>
      <c r="E203" s="1"/>
      <c r="F203" s="1"/>
      <c r="G203" s="1"/>
      <c r="T203" s="1"/>
      <c r="X203" s="1"/>
    </row>
    <row r="204" ht="15.75" customHeight="1">
      <c r="C204" s="1"/>
      <c r="D204" s="1"/>
      <c r="E204" s="1"/>
      <c r="F204" s="1"/>
      <c r="G204" s="1"/>
      <c r="T204" s="1"/>
      <c r="X204" s="1"/>
    </row>
    <row r="205" ht="15.75" customHeight="1">
      <c r="C205" s="1"/>
      <c r="D205" s="1"/>
      <c r="E205" s="1"/>
      <c r="F205" s="1"/>
      <c r="G205" s="1"/>
      <c r="T205" s="1"/>
      <c r="X205" s="1"/>
    </row>
    <row r="206" ht="15.75" customHeight="1">
      <c r="C206" s="1"/>
      <c r="D206" s="1"/>
      <c r="E206" s="1"/>
      <c r="F206" s="1"/>
      <c r="G206" s="1"/>
      <c r="T206" s="1"/>
      <c r="X206" s="1"/>
    </row>
    <row r="207" ht="15.75" customHeight="1">
      <c r="C207" s="1"/>
      <c r="D207" s="1"/>
      <c r="E207" s="1"/>
      <c r="F207" s="1"/>
      <c r="G207" s="1"/>
      <c r="T207" s="1"/>
      <c r="X207" s="1"/>
    </row>
    <row r="208" ht="15.75" customHeight="1">
      <c r="C208" s="1"/>
      <c r="D208" s="1"/>
      <c r="E208" s="1"/>
      <c r="F208" s="1"/>
      <c r="G208" s="1"/>
      <c r="T208" s="1"/>
      <c r="X208" s="1"/>
    </row>
    <row r="209" ht="15.75" customHeight="1">
      <c r="C209" s="1"/>
      <c r="D209" s="1"/>
      <c r="E209" s="1"/>
      <c r="F209" s="1"/>
      <c r="G209" s="1"/>
      <c r="T209" s="1"/>
      <c r="X209" s="1"/>
    </row>
    <row r="210" ht="15.75" customHeight="1">
      <c r="C210" s="1"/>
      <c r="D210" s="1"/>
      <c r="E210" s="1"/>
      <c r="F210" s="1"/>
      <c r="G210" s="1"/>
      <c r="T210" s="1"/>
      <c r="X210" s="1"/>
    </row>
    <row r="211" ht="15.75" customHeight="1">
      <c r="C211" s="1"/>
      <c r="D211" s="1"/>
      <c r="E211" s="1"/>
      <c r="F211" s="1"/>
      <c r="G211" s="1"/>
      <c r="T211" s="1"/>
      <c r="X211" s="1"/>
    </row>
    <row r="212" ht="15.75" customHeight="1">
      <c r="C212" s="1"/>
      <c r="D212" s="1"/>
      <c r="E212" s="1"/>
      <c r="F212" s="1"/>
      <c r="G212" s="1"/>
      <c r="T212" s="1"/>
      <c r="X212" s="1"/>
    </row>
    <row r="213" ht="15.75" customHeight="1">
      <c r="C213" s="1"/>
      <c r="D213" s="1"/>
      <c r="E213" s="1"/>
      <c r="F213" s="1"/>
      <c r="G213" s="1"/>
      <c r="T213" s="1"/>
      <c r="X213" s="1"/>
    </row>
    <row r="214" ht="15.75" customHeight="1">
      <c r="C214" s="1"/>
      <c r="D214" s="1"/>
      <c r="E214" s="1"/>
      <c r="F214" s="1"/>
      <c r="G214" s="1"/>
      <c r="T214" s="1"/>
      <c r="X214" s="1"/>
    </row>
    <row r="215" ht="15.75" customHeight="1">
      <c r="C215" s="1"/>
      <c r="D215" s="1"/>
      <c r="E215" s="1"/>
      <c r="F215" s="1"/>
      <c r="G215" s="1"/>
      <c r="T215" s="1"/>
      <c r="X215" s="1"/>
    </row>
    <row r="216" ht="15.75" customHeight="1">
      <c r="C216" s="1"/>
      <c r="D216" s="1"/>
      <c r="E216" s="1"/>
      <c r="F216" s="1"/>
      <c r="G216" s="1"/>
      <c r="T216" s="1"/>
      <c r="X216" s="1"/>
    </row>
    <row r="217" ht="15.75" customHeight="1">
      <c r="C217" s="1"/>
      <c r="D217" s="1"/>
      <c r="E217" s="1"/>
      <c r="F217" s="1"/>
      <c r="G217" s="1"/>
      <c r="T217" s="1"/>
      <c r="X217" s="1"/>
    </row>
    <row r="218" ht="15.75" customHeight="1">
      <c r="C218" s="1"/>
      <c r="D218" s="1"/>
      <c r="E218" s="1"/>
      <c r="F218" s="1"/>
      <c r="G218" s="1"/>
      <c r="T218" s="1"/>
      <c r="X218" s="1"/>
    </row>
    <row r="219" ht="15.75" customHeight="1">
      <c r="C219" s="1"/>
      <c r="D219" s="1"/>
      <c r="E219" s="1"/>
      <c r="F219" s="1"/>
      <c r="G219" s="1"/>
      <c r="T219" s="1"/>
      <c r="X219" s="1"/>
    </row>
    <row r="220" ht="15.75" customHeight="1">
      <c r="C220" s="1"/>
      <c r="D220" s="1"/>
      <c r="E220" s="1"/>
      <c r="F220" s="1"/>
      <c r="G220" s="1"/>
      <c r="T220" s="1"/>
      <c r="X220" s="1"/>
    </row>
    <row r="221" ht="15.75" customHeight="1">
      <c r="C221" s="1"/>
      <c r="D221" s="1"/>
      <c r="E221" s="1"/>
      <c r="F221" s="1"/>
      <c r="G221" s="1"/>
      <c r="T221" s="1"/>
      <c r="X221" s="1"/>
    </row>
    <row r="222" ht="15.75" customHeight="1">
      <c r="C222" s="1"/>
      <c r="D222" s="1"/>
      <c r="E222" s="1"/>
      <c r="F222" s="1"/>
      <c r="G222" s="1"/>
      <c r="T222" s="1"/>
      <c r="X222" s="1"/>
    </row>
    <row r="223" ht="15.75" customHeight="1">
      <c r="C223" s="1"/>
      <c r="D223" s="1"/>
      <c r="E223" s="1"/>
      <c r="F223" s="1"/>
      <c r="G223" s="1"/>
      <c r="T223" s="1"/>
      <c r="X223" s="1"/>
    </row>
    <row r="224" ht="15.75" customHeight="1">
      <c r="C224" s="1"/>
      <c r="D224" s="1"/>
      <c r="E224" s="1"/>
      <c r="F224" s="1"/>
      <c r="G224" s="1"/>
      <c r="T224" s="1"/>
      <c r="X224" s="1"/>
    </row>
    <row r="225" ht="15.75" customHeight="1">
      <c r="C225" s="1"/>
      <c r="D225" s="1"/>
      <c r="E225" s="1"/>
      <c r="F225" s="1"/>
      <c r="G225" s="1"/>
      <c r="T225" s="1"/>
      <c r="X225" s="1"/>
    </row>
    <row r="226" ht="15.75" customHeight="1">
      <c r="C226" s="1"/>
      <c r="D226" s="1"/>
      <c r="E226" s="1"/>
      <c r="F226" s="1"/>
      <c r="G226" s="1"/>
      <c r="T226" s="1"/>
      <c r="X226" s="1"/>
    </row>
    <row r="227" ht="15.75" customHeight="1">
      <c r="C227" s="1"/>
      <c r="D227" s="1"/>
      <c r="E227" s="1"/>
      <c r="F227" s="1"/>
      <c r="G227" s="1"/>
      <c r="T227" s="1"/>
      <c r="X227" s="1"/>
    </row>
    <row r="228" ht="15.75" customHeight="1">
      <c r="C228" s="1"/>
      <c r="D228" s="1"/>
      <c r="E228" s="1"/>
      <c r="F228" s="1"/>
      <c r="G228" s="1"/>
      <c r="T228" s="1"/>
      <c r="X228" s="1"/>
    </row>
    <row r="229" ht="15.75" customHeight="1">
      <c r="C229" s="1"/>
      <c r="D229" s="1"/>
      <c r="E229" s="1"/>
      <c r="F229" s="1"/>
      <c r="G229" s="1"/>
      <c r="T229" s="1"/>
      <c r="X229" s="1"/>
    </row>
    <row r="230" ht="15.75" customHeight="1">
      <c r="C230" s="1"/>
      <c r="D230" s="1"/>
      <c r="E230" s="1"/>
      <c r="F230" s="1"/>
      <c r="G230" s="1"/>
      <c r="T230" s="1"/>
      <c r="X230" s="1"/>
    </row>
    <row r="231" ht="15.75" customHeight="1">
      <c r="C231" s="1"/>
      <c r="D231" s="1"/>
      <c r="E231" s="1"/>
      <c r="F231" s="1"/>
      <c r="G231" s="1"/>
      <c r="T231" s="1"/>
      <c r="X231" s="1"/>
    </row>
    <row r="232" ht="15.75" customHeight="1">
      <c r="C232" s="1"/>
      <c r="D232" s="1"/>
      <c r="E232" s="1"/>
      <c r="F232" s="1"/>
      <c r="G232" s="1"/>
      <c r="T232" s="1"/>
      <c r="X232" s="1"/>
    </row>
    <row r="233" ht="15.75" customHeight="1">
      <c r="C233" s="1"/>
      <c r="D233" s="1"/>
      <c r="E233" s="1"/>
      <c r="F233" s="1"/>
      <c r="G233" s="1"/>
      <c r="T233" s="1"/>
      <c r="X233" s="1"/>
    </row>
    <row r="234" ht="15.75" customHeight="1">
      <c r="C234" s="1"/>
      <c r="D234" s="1"/>
      <c r="E234" s="1"/>
      <c r="F234" s="1"/>
      <c r="G234" s="1"/>
      <c r="T234" s="1"/>
      <c r="X234" s="1"/>
    </row>
    <row r="235" ht="15.75" customHeight="1">
      <c r="C235" s="1"/>
      <c r="D235" s="1"/>
      <c r="E235" s="1"/>
      <c r="F235" s="1"/>
      <c r="G235" s="1"/>
      <c r="T235" s="1"/>
      <c r="X235" s="1"/>
    </row>
    <row r="236" ht="15.75" customHeight="1">
      <c r="C236" s="1"/>
      <c r="D236" s="1"/>
      <c r="E236" s="1"/>
      <c r="F236" s="1"/>
      <c r="G236" s="1"/>
      <c r="T236" s="1"/>
      <c r="X236" s="1"/>
    </row>
    <row r="237" ht="15.75" customHeight="1">
      <c r="C237" s="1"/>
      <c r="D237" s="1"/>
      <c r="E237" s="1"/>
      <c r="F237" s="1"/>
      <c r="G237" s="1"/>
      <c r="T237" s="1"/>
      <c r="X237" s="1"/>
    </row>
    <row r="238" ht="15.75" customHeight="1">
      <c r="C238" s="1"/>
      <c r="D238" s="1"/>
      <c r="E238" s="1"/>
      <c r="F238" s="1"/>
      <c r="G238" s="1"/>
      <c r="T238" s="1"/>
      <c r="X238" s="1"/>
    </row>
    <row r="239" ht="15.75" customHeight="1">
      <c r="C239" s="1"/>
      <c r="D239" s="1"/>
      <c r="E239" s="1"/>
      <c r="F239" s="1"/>
      <c r="G239" s="1"/>
      <c r="T239" s="1"/>
      <c r="X239" s="1"/>
    </row>
    <row r="240" ht="15.75" customHeight="1">
      <c r="C240" s="1"/>
      <c r="D240" s="1"/>
      <c r="E240" s="1"/>
      <c r="F240" s="1"/>
      <c r="G240" s="1"/>
      <c r="T240" s="1"/>
      <c r="X240" s="1"/>
    </row>
    <row r="241" ht="15.75" customHeight="1">
      <c r="C241" s="1"/>
      <c r="D241" s="1"/>
      <c r="E241" s="1"/>
      <c r="F241" s="1"/>
      <c r="G241" s="1"/>
      <c r="T241" s="1"/>
      <c r="X241" s="1"/>
    </row>
    <row r="242" ht="15.75" customHeight="1">
      <c r="C242" s="1"/>
      <c r="D242" s="1"/>
      <c r="E242" s="1"/>
      <c r="F242" s="1"/>
      <c r="G242" s="1"/>
      <c r="T242" s="1"/>
      <c r="X242" s="1"/>
    </row>
    <row r="243" ht="15.75" customHeight="1">
      <c r="C243" s="1"/>
      <c r="D243" s="1"/>
      <c r="E243" s="1"/>
      <c r="F243" s="1"/>
      <c r="G243" s="1"/>
      <c r="T243" s="1"/>
      <c r="X243" s="1"/>
    </row>
    <row r="244" ht="15.75" customHeight="1">
      <c r="C244" s="1"/>
      <c r="D244" s="1"/>
      <c r="E244" s="1"/>
      <c r="F244" s="1"/>
      <c r="G244" s="1"/>
      <c r="T244" s="1"/>
      <c r="X244" s="1"/>
    </row>
    <row r="245" ht="15.75" customHeight="1">
      <c r="C245" s="1"/>
      <c r="D245" s="1"/>
      <c r="E245" s="1"/>
      <c r="F245" s="1"/>
      <c r="G245" s="1"/>
      <c r="T245" s="1"/>
      <c r="X245" s="1"/>
    </row>
    <row r="246" ht="15.75" customHeight="1">
      <c r="C246" s="1"/>
      <c r="D246" s="1"/>
      <c r="E246" s="1"/>
      <c r="F246" s="1"/>
      <c r="G246" s="1"/>
      <c r="T246" s="1"/>
      <c r="X246" s="1"/>
    </row>
    <row r="247" ht="15.75" customHeight="1">
      <c r="C247" s="1"/>
      <c r="D247" s="1"/>
      <c r="E247" s="1"/>
      <c r="F247" s="1"/>
      <c r="G247" s="1"/>
      <c r="T247" s="1"/>
      <c r="X247" s="1"/>
    </row>
    <row r="248" ht="15.75" customHeight="1">
      <c r="C248" s="1"/>
      <c r="D248" s="1"/>
      <c r="E248" s="1"/>
      <c r="F248" s="1"/>
      <c r="G248" s="1"/>
      <c r="T248" s="1"/>
      <c r="X248" s="1"/>
    </row>
    <row r="249" ht="15.75" customHeight="1">
      <c r="C249" s="1"/>
      <c r="D249" s="1"/>
      <c r="E249" s="1"/>
      <c r="F249" s="1"/>
      <c r="G249" s="1"/>
      <c r="T249" s="1"/>
      <c r="X249" s="1"/>
    </row>
    <row r="250" ht="15.75" customHeight="1">
      <c r="C250" s="1"/>
      <c r="D250" s="1"/>
      <c r="E250" s="1"/>
      <c r="F250" s="1"/>
      <c r="G250" s="1"/>
      <c r="T250" s="1"/>
      <c r="X250" s="1"/>
    </row>
    <row r="251" ht="15.75" customHeight="1">
      <c r="C251" s="1"/>
      <c r="D251" s="1"/>
      <c r="E251" s="1"/>
      <c r="F251" s="1"/>
      <c r="G251" s="1"/>
      <c r="T251" s="1"/>
      <c r="X251" s="1"/>
    </row>
    <row r="252" ht="15.75" customHeight="1">
      <c r="C252" s="1"/>
      <c r="D252" s="1"/>
      <c r="E252" s="1"/>
      <c r="F252" s="1"/>
      <c r="G252" s="1"/>
      <c r="T252" s="1"/>
      <c r="X252" s="1"/>
    </row>
    <row r="253" ht="15.75" customHeight="1">
      <c r="C253" s="1"/>
      <c r="D253" s="1"/>
      <c r="E253" s="1"/>
      <c r="F253" s="1"/>
      <c r="G253" s="1"/>
      <c r="T253" s="1"/>
      <c r="X253" s="1"/>
    </row>
    <row r="254" ht="15.75" customHeight="1">
      <c r="C254" s="1"/>
      <c r="D254" s="1"/>
      <c r="E254" s="1"/>
      <c r="F254" s="1"/>
      <c r="G254" s="1"/>
      <c r="T254" s="1"/>
      <c r="X254" s="1"/>
    </row>
    <row r="255" ht="15.75" customHeight="1">
      <c r="C255" s="1"/>
      <c r="D255" s="1"/>
      <c r="E255" s="1"/>
      <c r="F255" s="1"/>
      <c r="G255" s="1"/>
      <c r="T255" s="1"/>
      <c r="X255" s="1"/>
    </row>
    <row r="256" ht="15.75" customHeight="1">
      <c r="C256" s="1"/>
      <c r="D256" s="1"/>
      <c r="E256" s="1"/>
      <c r="F256" s="1"/>
      <c r="G256" s="1"/>
      <c r="T256" s="1"/>
      <c r="X256" s="1"/>
    </row>
    <row r="257" ht="15.75" customHeight="1">
      <c r="C257" s="1"/>
      <c r="D257" s="1"/>
      <c r="E257" s="1"/>
      <c r="F257" s="1"/>
      <c r="G257" s="1"/>
      <c r="T257" s="1"/>
      <c r="X257" s="1"/>
    </row>
    <row r="258" ht="15.75" customHeight="1">
      <c r="C258" s="1"/>
      <c r="D258" s="1"/>
      <c r="E258" s="1"/>
      <c r="F258" s="1"/>
      <c r="G258" s="1"/>
      <c r="T258" s="1"/>
      <c r="X258" s="1"/>
    </row>
    <row r="259" ht="15.75" customHeight="1">
      <c r="C259" s="1"/>
      <c r="D259" s="1"/>
      <c r="E259" s="1"/>
      <c r="F259" s="1"/>
      <c r="G259" s="1"/>
      <c r="T259" s="1"/>
      <c r="X259" s="1"/>
    </row>
    <row r="260" ht="15.75" customHeight="1">
      <c r="C260" s="1"/>
      <c r="D260" s="1"/>
      <c r="E260" s="1"/>
      <c r="F260" s="1"/>
      <c r="G260" s="1"/>
      <c r="T260" s="1"/>
      <c r="X260" s="1"/>
    </row>
    <row r="261" ht="15.75" customHeight="1">
      <c r="C261" s="1"/>
      <c r="D261" s="1"/>
      <c r="E261" s="1"/>
      <c r="F261" s="1"/>
      <c r="G261" s="1"/>
      <c r="T261" s="1"/>
      <c r="X261" s="1"/>
    </row>
    <row r="262" ht="15.75" customHeight="1">
      <c r="C262" s="1"/>
      <c r="D262" s="1"/>
      <c r="E262" s="1"/>
      <c r="F262" s="1"/>
      <c r="G262" s="1"/>
      <c r="T262" s="1"/>
      <c r="X262" s="1"/>
    </row>
    <row r="263" ht="15.75" customHeight="1">
      <c r="C263" s="1"/>
      <c r="D263" s="1"/>
      <c r="E263" s="1"/>
      <c r="F263" s="1"/>
      <c r="G263" s="1"/>
      <c r="T263" s="1"/>
      <c r="X263" s="1"/>
    </row>
    <row r="264" ht="15.75" customHeight="1">
      <c r="C264" s="1"/>
      <c r="D264" s="1"/>
      <c r="E264" s="1"/>
      <c r="F264" s="1"/>
      <c r="G264" s="1"/>
      <c r="T264" s="1"/>
      <c r="X264" s="1"/>
    </row>
    <row r="265" ht="15.75" customHeight="1">
      <c r="C265" s="1"/>
      <c r="D265" s="1"/>
      <c r="E265" s="1"/>
      <c r="F265" s="1"/>
      <c r="G265" s="1"/>
      <c r="T265" s="1"/>
      <c r="X265" s="1"/>
    </row>
    <row r="266" ht="15.75" customHeight="1">
      <c r="C266" s="1"/>
      <c r="D266" s="1"/>
      <c r="E266" s="1"/>
      <c r="F266" s="1"/>
      <c r="G266" s="1"/>
      <c r="T266" s="1"/>
      <c r="X266" s="1"/>
    </row>
    <row r="267" ht="15.75" customHeight="1">
      <c r="C267" s="1"/>
      <c r="D267" s="1"/>
      <c r="E267" s="1"/>
      <c r="F267" s="1"/>
      <c r="G267" s="1"/>
      <c r="T267" s="1"/>
      <c r="X267" s="1"/>
    </row>
    <row r="268" ht="15.75" customHeight="1">
      <c r="C268" s="1"/>
      <c r="D268" s="1"/>
      <c r="E268" s="1"/>
      <c r="F268" s="1"/>
      <c r="G268" s="1"/>
      <c r="T268" s="1"/>
      <c r="X268" s="1"/>
    </row>
    <row r="269" ht="15.75" customHeight="1">
      <c r="C269" s="1"/>
      <c r="D269" s="1"/>
      <c r="E269" s="1"/>
      <c r="F269" s="1"/>
      <c r="G269" s="1"/>
      <c r="T269" s="1"/>
      <c r="X269" s="1"/>
    </row>
    <row r="270" ht="15.75" customHeight="1">
      <c r="C270" s="1"/>
      <c r="D270" s="1"/>
      <c r="E270" s="1"/>
      <c r="F270" s="1"/>
      <c r="G270" s="1"/>
      <c r="T270" s="1"/>
      <c r="X270" s="1"/>
    </row>
    <row r="271" ht="15.75" customHeight="1">
      <c r="C271" s="1"/>
      <c r="D271" s="1"/>
      <c r="E271" s="1"/>
      <c r="F271" s="1"/>
      <c r="G271" s="1"/>
      <c r="T271" s="1"/>
      <c r="X271" s="1"/>
    </row>
    <row r="272" ht="15.75" customHeight="1">
      <c r="C272" s="1"/>
      <c r="D272" s="1"/>
      <c r="E272" s="1"/>
      <c r="F272" s="1"/>
      <c r="G272" s="1"/>
      <c r="T272" s="1"/>
      <c r="X272" s="1"/>
    </row>
    <row r="273" ht="15.75" customHeight="1">
      <c r="C273" s="1"/>
      <c r="D273" s="1"/>
      <c r="E273" s="1"/>
      <c r="F273" s="1"/>
      <c r="G273" s="1"/>
      <c r="T273" s="1"/>
      <c r="X273" s="1"/>
    </row>
    <row r="274" ht="15.75" customHeight="1">
      <c r="C274" s="1"/>
      <c r="D274" s="1"/>
      <c r="E274" s="1"/>
      <c r="F274" s="1"/>
      <c r="G274" s="1"/>
      <c r="T274" s="1"/>
      <c r="X274" s="1"/>
    </row>
    <row r="275" ht="15.75" customHeight="1">
      <c r="C275" s="1"/>
      <c r="D275" s="1"/>
      <c r="E275" s="1"/>
      <c r="F275" s="1"/>
      <c r="G275" s="1"/>
      <c r="T275" s="1"/>
      <c r="X275" s="1"/>
    </row>
    <row r="276" ht="15.75" customHeight="1">
      <c r="C276" s="1"/>
      <c r="D276" s="1"/>
      <c r="E276" s="1"/>
      <c r="F276" s="1"/>
      <c r="G276" s="1"/>
      <c r="T276" s="1"/>
      <c r="X276" s="1"/>
    </row>
    <row r="277" ht="15.75" customHeight="1">
      <c r="C277" s="1"/>
      <c r="D277" s="1"/>
      <c r="E277" s="1"/>
      <c r="F277" s="1"/>
      <c r="G277" s="1"/>
      <c r="T277" s="1"/>
      <c r="X277" s="1"/>
    </row>
    <row r="278" ht="15.75" customHeight="1">
      <c r="C278" s="1"/>
      <c r="D278" s="1"/>
      <c r="E278" s="1"/>
      <c r="F278" s="1"/>
      <c r="G278" s="1"/>
      <c r="T278" s="1"/>
      <c r="X278" s="1"/>
    </row>
    <row r="279" ht="15.75" customHeight="1">
      <c r="C279" s="1"/>
      <c r="D279" s="1"/>
      <c r="E279" s="1"/>
      <c r="F279" s="1"/>
      <c r="G279" s="1"/>
      <c r="T279" s="1"/>
      <c r="X279" s="1"/>
    </row>
    <row r="280" ht="15.75" customHeight="1">
      <c r="C280" s="1"/>
      <c r="D280" s="1"/>
      <c r="E280" s="1"/>
      <c r="F280" s="1"/>
      <c r="G280" s="1"/>
      <c r="T280" s="1"/>
      <c r="X280" s="1"/>
    </row>
    <row r="281" ht="15.75" customHeight="1">
      <c r="C281" s="1"/>
      <c r="D281" s="1"/>
      <c r="E281" s="1"/>
      <c r="F281" s="1"/>
      <c r="G281" s="1"/>
      <c r="T281" s="1"/>
      <c r="X281" s="1"/>
    </row>
    <row r="282" ht="15.75" customHeight="1">
      <c r="C282" s="1"/>
      <c r="D282" s="1"/>
      <c r="E282" s="1"/>
      <c r="F282" s="1"/>
      <c r="G282" s="1"/>
      <c r="T282" s="1"/>
      <c r="X282" s="1"/>
    </row>
    <row r="283" ht="15.75" customHeight="1">
      <c r="C283" s="1"/>
      <c r="D283" s="1"/>
      <c r="E283" s="1"/>
      <c r="F283" s="1"/>
      <c r="G283" s="1"/>
      <c r="T283" s="1"/>
      <c r="X283" s="1"/>
    </row>
    <row r="284" ht="15.75" customHeight="1">
      <c r="C284" s="1"/>
      <c r="D284" s="1"/>
      <c r="E284" s="1"/>
      <c r="F284" s="1"/>
      <c r="G284" s="1"/>
      <c r="T284" s="1"/>
      <c r="X284" s="1"/>
    </row>
    <row r="285" ht="15.75" customHeight="1">
      <c r="C285" s="1"/>
      <c r="D285" s="1"/>
      <c r="E285" s="1"/>
      <c r="F285" s="1"/>
      <c r="G285" s="1"/>
      <c r="T285" s="1"/>
      <c r="X285" s="1"/>
    </row>
    <row r="286" ht="15.75" customHeight="1">
      <c r="C286" s="1"/>
      <c r="D286" s="1"/>
      <c r="E286" s="1"/>
      <c r="F286" s="1"/>
      <c r="G286" s="1"/>
      <c r="T286" s="1"/>
      <c r="X286" s="1"/>
    </row>
    <row r="287" ht="15.75" customHeight="1">
      <c r="C287" s="1"/>
      <c r="D287" s="1"/>
      <c r="E287" s="1"/>
      <c r="F287" s="1"/>
      <c r="G287" s="1"/>
      <c r="T287" s="1"/>
      <c r="X287" s="1"/>
    </row>
    <row r="288" ht="15.75" customHeight="1">
      <c r="C288" s="1"/>
      <c r="D288" s="1"/>
      <c r="E288" s="1"/>
      <c r="F288" s="1"/>
      <c r="G288" s="1"/>
      <c r="T288" s="1"/>
      <c r="X288" s="1"/>
    </row>
    <row r="289" ht="15.75" customHeight="1">
      <c r="C289" s="1"/>
      <c r="D289" s="1"/>
      <c r="E289" s="1"/>
      <c r="F289" s="1"/>
      <c r="G289" s="1"/>
      <c r="T289" s="1"/>
      <c r="X289" s="1"/>
    </row>
    <row r="290" ht="15.75" customHeight="1">
      <c r="C290" s="1"/>
      <c r="D290" s="1"/>
      <c r="E290" s="1"/>
      <c r="F290" s="1"/>
      <c r="G290" s="1"/>
      <c r="T290" s="1"/>
      <c r="X290" s="1"/>
    </row>
    <row r="291" ht="15.75" customHeight="1">
      <c r="C291" s="1"/>
      <c r="D291" s="1"/>
      <c r="E291" s="1"/>
      <c r="F291" s="1"/>
      <c r="G291" s="1"/>
      <c r="T291" s="1"/>
      <c r="X291" s="1"/>
    </row>
    <row r="292" ht="15.75" customHeight="1">
      <c r="C292" s="1"/>
      <c r="D292" s="1"/>
      <c r="E292" s="1"/>
      <c r="F292" s="1"/>
      <c r="G292" s="1"/>
      <c r="T292" s="1"/>
      <c r="X292" s="1"/>
    </row>
    <row r="293" ht="15.75" customHeight="1">
      <c r="C293" s="1"/>
      <c r="D293" s="1"/>
      <c r="E293" s="1"/>
      <c r="F293" s="1"/>
      <c r="G293" s="1"/>
      <c r="T293" s="1"/>
      <c r="X293" s="1"/>
    </row>
    <row r="294" ht="15.75" customHeight="1">
      <c r="C294" s="1"/>
      <c r="D294" s="1"/>
      <c r="E294" s="1"/>
      <c r="F294" s="1"/>
      <c r="G294" s="1"/>
      <c r="T294" s="1"/>
      <c r="X294" s="1"/>
    </row>
    <row r="295" ht="15.75" customHeight="1">
      <c r="C295" s="1"/>
      <c r="D295" s="1"/>
      <c r="E295" s="1"/>
      <c r="F295" s="1"/>
      <c r="G295" s="1"/>
      <c r="T295" s="1"/>
      <c r="X295" s="1"/>
    </row>
    <row r="296" ht="15.75" customHeight="1">
      <c r="C296" s="1"/>
      <c r="D296" s="1"/>
      <c r="E296" s="1"/>
      <c r="F296" s="1"/>
      <c r="G296" s="1"/>
      <c r="T296" s="1"/>
      <c r="X296" s="1"/>
    </row>
    <row r="297" ht="15.75" customHeight="1">
      <c r="C297" s="1"/>
      <c r="D297" s="1"/>
      <c r="E297" s="1"/>
      <c r="F297" s="1"/>
      <c r="G297" s="1"/>
      <c r="T297" s="1"/>
      <c r="X297" s="1"/>
    </row>
    <row r="298" ht="15.75" customHeight="1">
      <c r="C298" s="1"/>
      <c r="D298" s="1"/>
      <c r="E298" s="1"/>
      <c r="F298" s="1"/>
      <c r="G298" s="1"/>
      <c r="T298" s="1"/>
      <c r="X298" s="1"/>
    </row>
    <row r="299" ht="15.75" customHeight="1">
      <c r="C299" s="1"/>
      <c r="D299" s="1"/>
      <c r="E299" s="1"/>
      <c r="F299" s="1"/>
      <c r="G299" s="1"/>
      <c r="T299" s="1"/>
      <c r="X299" s="1"/>
    </row>
    <row r="300" ht="15.75" customHeight="1">
      <c r="C300" s="1"/>
      <c r="D300" s="1"/>
      <c r="E300" s="1"/>
      <c r="F300" s="1"/>
      <c r="G300" s="1"/>
      <c r="T300" s="1"/>
      <c r="X300" s="1"/>
    </row>
    <row r="301" ht="15.75" customHeight="1">
      <c r="C301" s="1"/>
      <c r="D301" s="1"/>
      <c r="E301" s="1"/>
      <c r="F301" s="1"/>
      <c r="G301" s="1"/>
      <c r="T301" s="1"/>
      <c r="X301" s="1"/>
    </row>
    <row r="302" ht="15.75" customHeight="1">
      <c r="C302" s="1"/>
      <c r="D302" s="1"/>
      <c r="E302" s="1"/>
      <c r="F302" s="1"/>
      <c r="G302" s="1"/>
      <c r="T302" s="1"/>
      <c r="X302" s="1"/>
    </row>
    <row r="303" ht="15.75" customHeight="1">
      <c r="C303" s="1"/>
      <c r="D303" s="1"/>
      <c r="E303" s="1"/>
      <c r="F303" s="1"/>
      <c r="G303" s="1"/>
      <c r="T303" s="1"/>
      <c r="X303" s="1"/>
    </row>
    <row r="304" ht="15.75" customHeight="1">
      <c r="C304" s="1"/>
      <c r="D304" s="1"/>
      <c r="E304" s="1"/>
      <c r="F304" s="1"/>
      <c r="G304" s="1"/>
      <c r="T304" s="1"/>
      <c r="X304" s="1"/>
    </row>
    <row r="305" ht="15.75" customHeight="1">
      <c r="C305" s="1"/>
      <c r="D305" s="1"/>
      <c r="E305" s="1"/>
      <c r="F305" s="1"/>
      <c r="G305" s="1"/>
      <c r="T305" s="1"/>
      <c r="X305" s="1"/>
    </row>
    <row r="306" ht="15.75" customHeight="1">
      <c r="C306" s="1"/>
      <c r="D306" s="1"/>
      <c r="E306" s="1"/>
      <c r="F306" s="1"/>
      <c r="G306" s="1"/>
      <c r="T306" s="1"/>
      <c r="X306" s="1"/>
    </row>
    <row r="307" ht="15.75" customHeight="1">
      <c r="C307" s="1"/>
      <c r="D307" s="1"/>
      <c r="E307" s="1"/>
      <c r="F307" s="1"/>
      <c r="G307" s="1"/>
      <c r="T307" s="1"/>
      <c r="X307" s="1"/>
    </row>
    <row r="308" ht="15.75" customHeight="1">
      <c r="C308" s="1"/>
      <c r="D308" s="1"/>
      <c r="E308" s="1"/>
      <c r="F308" s="1"/>
      <c r="G308" s="1"/>
      <c r="T308" s="1"/>
      <c r="X308" s="1"/>
    </row>
    <row r="309" ht="15.75" customHeight="1">
      <c r="C309" s="1"/>
      <c r="D309" s="1"/>
      <c r="E309" s="1"/>
      <c r="F309" s="1"/>
      <c r="G309" s="1"/>
      <c r="T309" s="1"/>
      <c r="X309" s="1"/>
    </row>
    <row r="310" ht="15.75" customHeight="1">
      <c r="C310" s="1"/>
      <c r="D310" s="1"/>
      <c r="E310" s="1"/>
      <c r="F310" s="1"/>
      <c r="G310" s="1"/>
      <c r="T310" s="1"/>
      <c r="X310" s="1"/>
    </row>
    <row r="311" ht="15.75" customHeight="1">
      <c r="C311" s="1"/>
      <c r="D311" s="1"/>
      <c r="E311" s="1"/>
      <c r="F311" s="1"/>
      <c r="G311" s="1"/>
      <c r="T311" s="1"/>
      <c r="X311" s="1"/>
    </row>
    <row r="312" ht="15.75" customHeight="1">
      <c r="C312" s="1"/>
      <c r="D312" s="1"/>
      <c r="E312" s="1"/>
      <c r="F312" s="1"/>
      <c r="G312" s="1"/>
      <c r="T312" s="1"/>
      <c r="X312" s="1"/>
    </row>
    <row r="313" ht="15.75" customHeight="1">
      <c r="C313" s="1"/>
      <c r="D313" s="1"/>
      <c r="E313" s="1"/>
      <c r="F313" s="1"/>
      <c r="G313" s="1"/>
      <c r="T313" s="1"/>
      <c r="X313" s="1"/>
    </row>
    <row r="314" ht="15.75" customHeight="1">
      <c r="C314" s="1"/>
      <c r="D314" s="1"/>
      <c r="E314" s="1"/>
      <c r="F314" s="1"/>
      <c r="G314" s="1"/>
      <c r="T314" s="1"/>
      <c r="X314" s="1"/>
    </row>
    <row r="315" ht="15.75" customHeight="1">
      <c r="C315" s="1"/>
      <c r="D315" s="1"/>
      <c r="E315" s="1"/>
      <c r="F315" s="1"/>
      <c r="G315" s="1"/>
      <c r="T315" s="1"/>
      <c r="X315" s="1"/>
    </row>
    <row r="316" ht="15.75" customHeight="1">
      <c r="C316" s="1"/>
      <c r="D316" s="1"/>
      <c r="E316" s="1"/>
      <c r="F316" s="1"/>
      <c r="G316" s="1"/>
      <c r="T316" s="1"/>
      <c r="X316" s="1"/>
    </row>
    <row r="317" ht="15.75" customHeight="1">
      <c r="C317" s="1"/>
      <c r="D317" s="1"/>
      <c r="E317" s="1"/>
      <c r="F317" s="1"/>
      <c r="G317" s="1"/>
      <c r="T317" s="1"/>
      <c r="X317" s="1"/>
    </row>
    <row r="318" ht="15.75" customHeight="1">
      <c r="C318" s="1"/>
      <c r="D318" s="1"/>
      <c r="E318" s="1"/>
      <c r="F318" s="1"/>
      <c r="G318" s="1"/>
      <c r="T318" s="1"/>
      <c r="X318" s="1"/>
    </row>
    <row r="319" ht="15.75" customHeight="1">
      <c r="C319" s="1"/>
      <c r="D319" s="1"/>
      <c r="E319" s="1"/>
      <c r="F319" s="1"/>
      <c r="G319" s="1"/>
      <c r="T319" s="1"/>
      <c r="X319" s="1"/>
    </row>
    <row r="320" ht="15.75" customHeight="1">
      <c r="C320" s="1"/>
      <c r="D320" s="1"/>
      <c r="E320" s="1"/>
      <c r="F320" s="1"/>
      <c r="G320" s="1"/>
      <c r="T320" s="1"/>
      <c r="X320" s="1"/>
    </row>
    <row r="321" ht="15.75" customHeight="1">
      <c r="C321" s="1"/>
      <c r="D321" s="1"/>
      <c r="E321" s="1"/>
      <c r="F321" s="1"/>
      <c r="G321" s="1"/>
      <c r="T321" s="1"/>
      <c r="X321" s="1"/>
    </row>
    <row r="322" ht="15.75" customHeight="1">
      <c r="C322" s="1"/>
      <c r="D322" s="1"/>
      <c r="E322" s="1"/>
      <c r="F322" s="1"/>
      <c r="G322" s="1"/>
      <c r="T322" s="1"/>
      <c r="X322" s="1"/>
    </row>
    <row r="323" ht="15.75" customHeight="1">
      <c r="C323" s="1"/>
      <c r="D323" s="1"/>
      <c r="E323" s="1"/>
      <c r="F323" s="1"/>
      <c r="G323" s="1"/>
      <c r="T323" s="1"/>
      <c r="X323" s="1"/>
    </row>
    <row r="324" ht="15.75" customHeight="1">
      <c r="C324" s="1"/>
      <c r="D324" s="1"/>
      <c r="E324" s="1"/>
      <c r="F324" s="1"/>
      <c r="G324" s="1"/>
      <c r="T324" s="1"/>
      <c r="X324" s="1"/>
    </row>
    <row r="325" ht="15.75" customHeight="1">
      <c r="C325" s="1"/>
      <c r="D325" s="1"/>
      <c r="E325" s="1"/>
      <c r="F325" s="1"/>
      <c r="G325" s="1"/>
      <c r="T325" s="1"/>
      <c r="X325" s="1"/>
    </row>
    <row r="326" ht="15.75" customHeight="1">
      <c r="C326" s="1"/>
      <c r="D326" s="1"/>
      <c r="E326" s="1"/>
      <c r="F326" s="1"/>
      <c r="G326" s="1"/>
      <c r="T326" s="1"/>
      <c r="X326" s="1"/>
    </row>
    <row r="327" ht="15.75" customHeight="1">
      <c r="C327" s="1"/>
      <c r="D327" s="1"/>
      <c r="E327" s="1"/>
      <c r="F327" s="1"/>
      <c r="G327" s="1"/>
      <c r="T327" s="1"/>
      <c r="X327" s="1"/>
    </row>
    <row r="328" ht="15.75" customHeight="1">
      <c r="C328" s="1"/>
      <c r="D328" s="1"/>
      <c r="E328" s="1"/>
      <c r="F328" s="1"/>
      <c r="G328" s="1"/>
      <c r="T328" s="1"/>
      <c r="X328" s="1"/>
    </row>
    <row r="329" ht="15.75" customHeight="1">
      <c r="C329" s="1"/>
      <c r="D329" s="1"/>
      <c r="E329" s="1"/>
      <c r="F329" s="1"/>
      <c r="G329" s="1"/>
      <c r="T329" s="1"/>
      <c r="X329" s="1"/>
    </row>
    <row r="330" ht="15.75" customHeight="1">
      <c r="C330" s="1"/>
      <c r="D330" s="1"/>
      <c r="E330" s="1"/>
      <c r="F330" s="1"/>
      <c r="G330" s="1"/>
      <c r="T330" s="1"/>
      <c r="X330" s="1"/>
    </row>
    <row r="331" ht="15.75" customHeight="1">
      <c r="C331" s="1"/>
      <c r="D331" s="1"/>
      <c r="E331" s="1"/>
      <c r="F331" s="1"/>
      <c r="G331" s="1"/>
      <c r="T331" s="1"/>
      <c r="X331" s="1"/>
    </row>
    <row r="332" ht="15.75" customHeight="1">
      <c r="C332" s="1"/>
      <c r="D332" s="1"/>
      <c r="E332" s="1"/>
      <c r="F332" s="1"/>
      <c r="G332" s="1"/>
      <c r="T332" s="1"/>
      <c r="X332" s="1"/>
    </row>
    <row r="333" ht="15.75" customHeight="1">
      <c r="C333" s="1"/>
      <c r="D333" s="1"/>
      <c r="E333" s="1"/>
      <c r="F333" s="1"/>
      <c r="G333" s="1"/>
      <c r="T333" s="1"/>
      <c r="X333" s="1"/>
    </row>
    <row r="334" ht="15.75" customHeight="1">
      <c r="C334" s="1"/>
      <c r="D334" s="1"/>
      <c r="E334" s="1"/>
      <c r="F334" s="1"/>
      <c r="G334" s="1"/>
      <c r="T334" s="1"/>
      <c r="X334" s="1"/>
    </row>
    <row r="335" ht="15.75" customHeight="1">
      <c r="C335" s="1"/>
      <c r="D335" s="1"/>
      <c r="E335" s="1"/>
      <c r="F335" s="1"/>
      <c r="G335" s="1"/>
      <c r="T335" s="1"/>
      <c r="X335" s="1"/>
    </row>
    <row r="336" ht="15.75" customHeight="1">
      <c r="C336" s="1"/>
      <c r="D336" s="1"/>
      <c r="E336" s="1"/>
      <c r="F336" s="1"/>
      <c r="G336" s="1"/>
      <c r="T336" s="1"/>
      <c r="X336" s="1"/>
    </row>
    <row r="337" ht="15.75" customHeight="1">
      <c r="C337" s="1"/>
      <c r="D337" s="1"/>
      <c r="E337" s="1"/>
      <c r="F337" s="1"/>
      <c r="G337" s="1"/>
      <c r="T337" s="1"/>
      <c r="X337" s="1"/>
    </row>
    <row r="338" ht="15.75" customHeight="1">
      <c r="C338" s="1"/>
      <c r="D338" s="1"/>
      <c r="E338" s="1"/>
      <c r="F338" s="1"/>
      <c r="G338" s="1"/>
      <c r="T338" s="1"/>
      <c r="X338" s="1"/>
    </row>
    <row r="339" ht="15.75" customHeight="1">
      <c r="C339" s="1"/>
      <c r="D339" s="1"/>
      <c r="E339" s="1"/>
      <c r="F339" s="1"/>
      <c r="G339" s="1"/>
      <c r="T339" s="1"/>
      <c r="X339" s="1"/>
    </row>
    <row r="340" ht="15.75" customHeight="1">
      <c r="C340" s="1"/>
      <c r="D340" s="1"/>
      <c r="E340" s="1"/>
      <c r="F340" s="1"/>
      <c r="G340" s="1"/>
      <c r="T340" s="1"/>
      <c r="X340" s="1"/>
    </row>
    <row r="341" ht="15.75" customHeight="1">
      <c r="C341" s="1"/>
      <c r="D341" s="1"/>
      <c r="E341" s="1"/>
      <c r="F341" s="1"/>
      <c r="G341" s="1"/>
      <c r="T341" s="1"/>
      <c r="X341" s="1"/>
    </row>
    <row r="342" ht="15.75" customHeight="1">
      <c r="C342" s="1"/>
      <c r="D342" s="1"/>
      <c r="E342" s="1"/>
      <c r="F342" s="1"/>
      <c r="G342" s="1"/>
      <c r="T342" s="1"/>
      <c r="X342" s="1"/>
    </row>
    <row r="343" ht="15.75" customHeight="1">
      <c r="C343" s="1"/>
      <c r="D343" s="1"/>
      <c r="E343" s="1"/>
      <c r="F343" s="1"/>
      <c r="G343" s="1"/>
      <c r="T343" s="1"/>
      <c r="X343" s="1"/>
    </row>
    <row r="344" ht="15.75" customHeight="1">
      <c r="C344" s="1"/>
      <c r="D344" s="1"/>
      <c r="E344" s="1"/>
      <c r="F344" s="1"/>
      <c r="G344" s="1"/>
      <c r="T344" s="1"/>
      <c r="X344" s="1"/>
    </row>
    <row r="345" ht="15.75" customHeight="1">
      <c r="C345" s="1"/>
      <c r="D345" s="1"/>
      <c r="E345" s="1"/>
      <c r="F345" s="1"/>
      <c r="G345" s="1"/>
      <c r="T345" s="1"/>
      <c r="X345" s="1"/>
    </row>
    <row r="346" ht="15.75" customHeight="1">
      <c r="C346" s="1"/>
      <c r="D346" s="1"/>
      <c r="E346" s="1"/>
      <c r="F346" s="1"/>
      <c r="G346" s="1"/>
      <c r="T346" s="1"/>
      <c r="X346" s="1"/>
    </row>
    <row r="347" ht="15.75" customHeight="1">
      <c r="C347" s="1"/>
      <c r="D347" s="1"/>
      <c r="E347" s="1"/>
      <c r="F347" s="1"/>
      <c r="G347" s="1"/>
      <c r="T347" s="1"/>
      <c r="X347" s="1"/>
    </row>
    <row r="348" ht="15.75" customHeight="1">
      <c r="C348" s="1"/>
      <c r="D348" s="1"/>
      <c r="E348" s="1"/>
      <c r="F348" s="1"/>
      <c r="G348" s="1"/>
      <c r="T348" s="1"/>
      <c r="X348" s="1"/>
    </row>
    <row r="349" ht="15.75" customHeight="1">
      <c r="C349" s="1"/>
      <c r="D349" s="1"/>
      <c r="E349" s="1"/>
      <c r="F349" s="1"/>
      <c r="G349" s="1"/>
      <c r="T349" s="1"/>
      <c r="X349" s="1"/>
    </row>
    <row r="350" ht="15.75" customHeight="1">
      <c r="C350" s="1"/>
      <c r="D350" s="1"/>
      <c r="E350" s="1"/>
      <c r="F350" s="1"/>
      <c r="G350" s="1"/>
      <c r="T350" s="1"/>
      <c r="X350" s="1"/>
    </row>
    <row r="351" ht="15.75" customHeight="1">
      <c r="C351" s="1"/>
      <c r="D351" s="1"/>
      <c r="E351" s="1"/>
      <c r="F351" s="1"/>
      <c r="G351" s="1"/>
      <c r="T351" s="1"/>
      <c r="X351" s="1"/>
    </row>
    <row r="352" ht="15.75" customHeight="1">
      <c r="C352" s="1"/>
      <c r="D352" s="1"/>
      <c r="E352" s="1"/>
      <c r="F352" s="1"/>
      <c r="G352" s="1"/>
      <c r="T352" s="1"/>
      <c r="X352" s="1"/>
    </row>
    <row r="353" ht="15.75" customHeight="1">
      <c r="C353" s="1"/>
      <c r="D353" s="1"/>
      <c r="E353" s="1"/>
      <c r="F353" s="1"/>
      <c r="G353" s="1"/>
      <c r="T353" s="1"/>
      <c r="X353" s="1"/>
    </row>
    <row r="354" ht="15.75" customHeight="1">
      <c r="C354" s="1"/>
      <c r="D354" s="1"/>
      <c r="E354" s="1"/>
      <c r="F354" s="1"/>
      <c r="G354" s="1"/>
      <c r="T354" s="1"/>
      <c r="X354" s="1"/>
    </row>
    <row r="355" ht="15.75" customHeight="1">
      <c r="C355" s="1"/>
      <c r="D355" s="1"/>
      <c r="E355" s="1"/>
      <c r="F355" s="1"/>
      <c r="G355" s="1"/>
      <c r="T355" s="1"/>
      <c r="X355" s="1"/>
    </row>
    <row r="356" ht="15.75" customHeight="1">
      <c r="C356" s="1"/>
      <c r="D356" s="1"/>
      <c r="E356" s="1"/>
      <c r="F356" s="1"/>
      <c r="G356" s="1"/>
      <c r="T356" s="1"/>
      <c r="X356" s="1"/>
    </row>
    <row r="357" ht="15.75" customHeight="1">
      <c r="C357" s="1"/>
      <c r="D357" s="1"/>
      <c r="E357" s="1"/>
      <c r="F357" s="1"/>
      <c r="G357" s="1"/>
      <c r="T357" s="1"/>
      <c r="X357" s="1"/>
    </row>
    <row r="358" ht="15.75" customHeight="1">
      <c r="C358" s="1"/>
      <c r="D358" s="1"/>
      <c r="E358" s="1"/>
      <c r="F358" s="1"/>
      <c r="G358" s="1"/>
      <c r="T358" s="1"/>
      <c r="X358" s="1"/>
    </row>
    <row r="359" ht="15.75" customHeight="1">
      <c r="C359" s="1"/>
      <c r="D359" s="1"/>
      <c r="E359" s="1"/>
      <c r="F359" s="1"/>
      <c r="G359" s="1"/>
      <c r="T359" s="1"/>
      <c r="X359" s="1"/>
    </row>
    <row r="360" ht="15.75" customHeight="1">
      <c r="C360" s="1"/>
      <c r="D360" s="1"/>
      <c r="E360" s="1"/>
      <c r="F360" s="1"/>
      <c r="G360" s="1"/>
      <c r="T360" s="1"/>
      <c r="X360" s="1"/>
    </row>
    <row r="361" ht="15.75" customHeight="1">
      <c r="C361" s="1"/>
      <c r="D361" s="1"/>
      <c r="E361" s="1"/>
      <c r="F361" s="1"/>
      <c r="G361" s="1"/>
      <c r="T361" s="1"/>
      <c r="X361" s="1"/>
    </row>
    <row r="362" ht="15.75" customHeight="1">
      <c r="C362" s="1"/>
      <c r="D362" s="1"/>
      <c r="E362" s="1"/>
      <c r="F362" s="1"/>
      <c r="G362" s="1"/>
      <c r="T362" s="1"/>
      <c r="X362" s="1"/>
    </row>
    <row r="363" ht="15.75" customHeight="1">
      <c r="C363" s="1"/>
      <c r="D363" s="1"/>
      <c r="E363" s="1"/>
      <c r="F363" s="1"/>
      <c r="G363" s="1"/>
      <c r="T363" s="1"/>
      <c r="X363" s="1"/>
    </row>
    <row r="364" ht="15.75" customHeight="1">
      <c r="C364" s="1"/>
      <c r="D364" s="1"/>
      <c r="E364" s="1"/>
      <c r="F364" s="1"/>
      <c r="G364" s="1"/>
      <c r="T364" s="1"/>
      <c r="X364" s="1"/>
    </row>
    <row r="365" ht="15.75" customHeight="1">
      <c r="C365" s="1"/>
      <c r="D365" s="1"/>
      <c r="E365" s="1"/>
      <c r="F365" s="1"/>
      <c r="G365" s="1"/>
      <c r="T365" s="1"/>
      <c r="X365" s="1"/>
    </row>
    <row r="366" ht="15.75" customHeight="1">
      <c r="C366" s="1"/>
      <c r="D366" s="1"/>
      <c r="E366" s="1"/>
      <c r="F366" s="1"/>
      <c r="G366" s="1"/>
      <c r="T366" s="1"/>
      <c r="X366" s="1"/>
    </row>
    <row r="367" ht="15.75" customHeight="1">
      <c r="C367" s="1"/>
      <c r="D367" s="1"/>
      <c r="E367" s="1"/>
      <c r="F367" s="1"/>
      <c r="G367" s="1"/>
      <c r="T367" s="1"/>
      <c r="X367" s="1"/>
    </row>
    <row r="368" ht="15.75" customHeight="1">
      <c r="C368" s="1"/>
      <c r="D368" s="1"/>
      <c r="E368" s="1"/>
      <c r="F368" s="1"/>
      <c r="G368" s="1"/>
      <c r="T368" s="1"/>
      <c r="X368" s="1"/>
    </row>
    <row r="369" ht="15.75" customHeight="1">
      <c r="C369" s="1"/>
      <c r="D369" s="1"/>
      <c r="E369" s="1"/>
      <c r="F369" s="1"/>
      <c r="G369" s="1"/>
      <c r="T369" s="1"/>
      <c r="X369" s="1"/>
    </row>
    <row r="370" ht="15.75" customHeight="1">
      <c r="C370" s="1"/>
      <c r="D370" s="1"/>
      <c r="E370" s="1"/>
      <c r="F370" s="1"/>
      <c r="G370" s="1"/>
      <c r="T370" s="1"/>
      <c r="X370" s="1"/>
    </row>
    <row r="371" ht="15.75" customHeight="1">
      <c r="C371" s="1"/>
      <c r="D371" s="1"/>
      <c r="E371" s="1"/>
      <c r="F371" s="1"/>
      <c r="G371" s="1"/>
      <c r="T371" s="1"/>
      <c r="X371" s="1"/>
    </row>
    <row r="372" ht="15.75" customHeight="1">
      <c r="C372" s="1"/>
      <c r="D372" s="1"/>
      <c r="E372" s="1"/>
      <c r="F372" s="1"/>
      <c r="G372" s="1"/>
      <c r="T372" s="1"/>
      <c r="X372" s="1"/>
    </row>
    <row r="373" ht="15.75" customHeight="1">
      <c r="C373" s="1"/>
      <c r="D373" s="1"/>
      <c r="E373" s="1"/>
      <c r="F373" s="1"/>
      <c r="G373" s="1"/>
      <c r="T373" s="1"/>
      <c r="X373" s="1"/>
    </row>
    <row r="374" ht="15.75" customHeight="1">
      <c r="C374" s="1"/>
      <c r="D374" s="1"/>
      <c r="E374" s="1"/>
      <c r="F374" s="1"/>
      <c r="G374" s="1"/>
      <c r="T374" s="1"/>
      <c r="X374" s="1"/>
    </row>
    <row r="375" ht="15.75" customHeight="1">
      <c r="C375" s="1"/>
      <c r="D375" s="1"/>
      <c r="E375" s="1"/>
      <c r="F375" s="1"/>
      <c r="G375" s="1"/>
      <c r="T375" s="1"/>
      <c r="X375" s="1"/>
    </row>
    <row r="376" ht="15.75" customHeight="1">
      <c r="C376" s="1"/>
      <c r="D376" s="1"/>
      <c r="E376" s="1"/>
      <c r="F376" s="1"/>
      <c r="G376" s="1"/>
      <c r="T376" s="1"/>
      <c r="X376" s="1"/>
    </row>
    <row r="377" ht="15.75" customHeight="1">
      <c r="C377" s="1"/>
      <c r="D377" s="1"/>
      <c r="E377" s="1"/>
      <c r="F377" s="1"/>
      <c r="G377" s="1"/>
      <c r="T377" s="1"/>
      <c r="X377" s="1"/>
    </row>
    <row r="378" ht="15.75" customHeight="1">
      <c r="C378" s="1"/>
      <c r="D378" s="1"/>
      <c r="E378" s="1"/>
      <c r="F378" s="1"/>
      <c r="G378" s="1"/>
      <c r="T378" s="1"/>
      <c r="X378" s="1"/>
    </row>
    <row r="379" ht="15.75" customHeight="1">
      <c r="C379" s="1"/>
      <c r="D379" s="1"/>
      <c r="E379" s="1"/>
      <c r="F379" s="1"/>
      <c r="G379" s="1"/>
      <c r="T379" s="1"/>
      <c r="X379" s="1"/>
    </row>
    <row r="380" ht="15.75" customHeight="1">
      <c r="C380" s="1"/>
      <c r="D380" s="1"/>
      <c r="E380" s="1"/>
      <c r="F380" s="1"/>
      <c r="G380" s="1"/>
      <c r="T380" s="1"/>
      <c r="X380" s="1"/>
    </row>
    <row r="381" ht="15.75" customHeight="1">
      <c r="C381" s="1"/>
      <c r="D381" s="1"/>
      <c r="E381" s="1"/>
      <c r="F381" s="1"/>
      <c r="G381" s="1"/>
      <c r="T381" s="1"/>
      <c r="X381" s="1"/>
    </row>
    <row r="382" ht="15.75" customHeight="1">
      <c r="C382" s="1"/>
      <c r="D382" s="1"/>
      <c r="E382" s="1"/>
      <c r="F382" s="1"/>
      <c r="G382" s="1"/>
      <c r="T382" s="1"/>
      <c r="X382" s="1"/>
    </row>
    <row r="383" ht="15.75" customHeight="1">
      <c r="C383" s="1"/>
      <c r="D383" s="1"/>
      <c r="E383" s="1"/>
      <c r="F383" s="1"/>
      <c r="G383" s="1"/>
      <c r="T383" s="1"/>
      <c r="X383" s="1"/>
    </row>
    <row r="384" ht="15.75" customHeight="1">
      <c r="C384" s="1"/>
      <c r="D384" s="1"/>
      <c r="E384" s="1"/>
      <c r="F384" s="1"/>
      <c r="G384" s="1"/>
      <c r="T384" s="1"/>
      <c r="X384" s="1"/>
    </row>
    <row r="385" ht="15.75" customHeight="1">
      <c r="C385" s="1"/>
      <c r="D385" s="1"/>
      <c r="E385" s="1"/>
      <c r="F385" s="1"/>
      <c r="G385" s="1"/>
      <c r="T385" s="1"/>
      <c r="X385" s="1"/>
    </row>
    <row r="386" ht="15.75" customHeight="1">
      <c r="C386" s="1"/>
      <c r="D386" s="1"/>
      <c r="E386" s="1"/>
      <c r="F386" s="1"/>
      <c r="G386" s="1"/>
      <c r="T386" s="1"/>
      <c r="X386" s="1"/>
    </row>
    <row r="387" ht="15.75" customHeight="1">
      <c r="C387" s="1"/>
      <c r="D387" s="1"/>
      <c r="E387" s="1"/>
      <c r="F387" s="1"/>
      <c r="G387" s="1"/>
      <c r="T387" s="1"/>
      <c r="X387" s="1"/>
    </row>
    <row r="388" ht="15.75" customHeight="1">
      <c r="C388" s="1"/>
      <c r="D388" s="1"/>
      <c r="E388" s="1"/>
      <c r="F388" s="1"/>
      <c r="G388" s="1"/>
      <c r="T388" s="1"/>
      <c r="X388" s="1"/>
    </row>
    <row r="389" ht="15.75" customHeight="1">
      <c r="C389" s="1"/>
      <c r="D389" s="1"/>
      <c r="E389" s="1"/>
      <c r="F389" s="1"/>
      <c r="G389" s="1"/>
      <c r="T389" s="1"/>
      <c r="X389" s="1"/>
    </row>
    <row r="390" ht="15.75" customHeight="1">
      <c r="C390" s="1"/>
      <c r="D390" s="1"/>
      <c r="E390" s="1"/>
      <c r="F390" s="1"/>
      <c r="G390" s="1"/>
      <c r="T390" s="1"/>
      <c r="X390" s="1"/>
    </row>
    <row r="391" ht="15.75" customHeight="1">
      <c r="C391" s="1"/>
      <c r="D391" s="1"/>
      <c r="E391" s="1"/>
      <c r="F391" s="1"/>
      <c r="G391" s="1"/>
      <c r="T391" s="1"/>
      <c r="X391" s="1"/>
    </row>
    <row r="392" ht="15.75" customHeight="1">
      <c r="C392" s="1"/>
      <c r="D392" s="1"/>
      <c r="E392" s="1"/>
      <c r="F392" s="1"/>
      <c r="G392" s="1"/>
      <c r="T392" s="1"/>
      <c r="X392" s="1"/>
    </row>
    <row r="393" ht="15.75" customHeight="1">
      <c r="C393" s="1"/>
      <c r="D393" s="1"/>
      <c r="E393" s="1"/>
      <c r="F393" s="1"/>
      <c r="G393" s="1"/>
      <c r="T393" s="1"/>
      <c r="X393" s="1"/>
    </row>
    <row r="394" ht="15.75" customHeight="1">
      <c r="C394" s="1"/>
      <c r="D394" s="1"/>
      <c r="E394" s="1"/>
      <c r="F394" s="1"/>
      <c r="G394" s="1"/>
      <c r="T394" s="1"/>
      <c r="X394" s="1"/>
    </row>
    <row r="395" ht="15.75" customHeight="1">
      <c r="C395" s="1"/>
      <c r="D395" s="1"/>
      <c r="E395" s="1"/>
      <c r="F395" s="1"/>
      <c r="G395" s="1"/>
      <c r="T395" s="1"/>
      <c r="X395" s="1"/>
    </row>
    <row r="396" ht="15.75" customHeight="1">
      <c r="C396" s="1"/>
      <c r="D396" s="1"/>
      <c r="E396" s="1"/>
      <c r="F396" s="1"/>
      <c r="G396" s="1"/>
      <c r="T396" s="1"/>
      <c r="X396" s="1"/>
    </row>
    <row r="397" ht="15.75" customHeight="1">
      <c r="C397" s="1"/>
      <c r="D397" s="1"/>
      <c r="E397" s="1"/>
      <c r="F397" s="1"/>
      <c r="G397" s="1"/>
      <c r="T397" s="1"/>
      <c r="X397" s="1"/>
    </row>
    <row r="398" ht="15.75" customHeight="1">
      <c r="C398" s="1"/>
      <c r="D398" s="1"/>
      <c r="E398" s="1"/>
      <c r="F398" s="1"/>
      <c r="G398" s="1"/>
      <c r="T398" s="1"/>
      <c r="X398" s="1"/>
    </row>
    <row r="399" ht="15.75" customHeight="1">
      <c r="C399" s="1"/>
      <c r="D399" s="1"/>
      <c r="E399" s="1"/>
      <c r="F399" s="1"/>
      <c r="G399" s="1"/>
      <c r="T399" s="1"/>
      <c r="X399" s="1"/>
    </row>
    <row r="400" ht="15.75" customHeight="1">
      <c r="C400" s="1"/>
      <c r="D400" s="1"/>
      <c r="E400" s="1"/>
      <c r="F400" s="1"/>
      <c r="G400" s="1"/>
      <c r="T400" s="1"/>
      <c r="X400" s="1"/>
    </row>
    <row r="401" ht="15.75" customHeight="1">
      <c r="C401" s="1"/>
      <c r="D401" s="1"/>
      <c r="E401" s="1"/>
      <c r="F401" s="1"/>
      <c r="G401" s="1"/>
      <c r="T401" s="1"/>
      <c r="X401" s="1"/>
    </row>
    <row r="402" ht="15.75" customHeight="1">
      <c r="C402" s="1"/>
      <c r="D402" s="1"/>
      <c r="E402" s="1"/>
      <c r="F402" s="1"/>
      <c r="G402" s="1"/>
      <c r="T402" s="1"/>
      <c r="X402" s="1"/>
    </row>
    <row r="403" ht="15.75" customHeight="1">
      <c r="C403" s="1"/>
      <c r="D403" s="1"/>
      <c r="E403" s="1"/>
      <c r="F403" s="1"/>
      <c r="G403" s="1"/>
      <c r="T403" s="1"/>
      <c r="X403" s="1"/>
    </row>
    <row r="404" ht="15.75" customHeight="1">
      <c r="C404" s="1"/>
      <c r="D404" s="1"/>
      <c r="E404" s="1"/>
      <c r="F404" s="1"/>
      <c r="G404" s="1"/>
      <c r="T404" s="1"/>
      <c r="X404" s="1"/>
    </row>
    <row r="405" ht="15.75" customHeight="1">
      <c r="C405" s="1"/>
      <c r="D405" s="1"/>
      <c r="E405" s="1"/>
      <c r="F405" s="1"/>
      <c r="G405" s="1"/>
      <c r="T405" s="1"/>
      <c r="X405" s="1"/>
    </row>
    <row r="406" ht="15.75" customHeight="1">
      <c r="C406" s="1"/>
      <c r="D406" s="1"/>
      <c r="E406" s="1"/>
      <c r="F406" s="1"/>
      <c r="G406" s="1"/>
      <c r="T406" s="1"/>
      <c r="X406" s="1"/>
    </row>
    <row r="407" ht="15.75" customHeight="1">
      <c r="C407" s="1"/>
      <c r="D407" s="1"/>
      <c r="E407" s="1"/>
      <c r="F407" s="1"/>
      <c r="G407" s="1"/>
      <c r="T407" s="1"/>
      <c r="X407" s="1"/>
    </row>
    <row r="408" ht="15.75" customHeight="1">
      <c r="C408" s="1"/>
      <c r="D408" s="1"/>
      <c r="E408" s="1"/>
      <c r="F408" s="1"/>
      <c r="G408" s="1"/>
      <c r="T408" s="1"/>
      <c r="X408" s="1"/>
    </row>
    <row r="409" ht="15.75" customHeight="1">
      <c r="C409" s="1"/>
      <c r="D409" s="1"/>
      <c r="E409" s="1"/>
      <c r="F409" s="1"/>
      <c r="G409" s="1"/>
      <c r="T409" s="1"/>
      <c r="X409" s="1"/>
    </row>
    <row r="410" ht="15.75" customHeight="1">
      <c r="C410" s="1"/>
      <c r="D410" s="1"/>
      <c r="E410" s="1"/>
      <c r="F410" s="1"/>
      <c r="G410" s="1"/>
      <c r="T410" s="1"/>
      <c r="X410" s="1"/>
    </row>
    <row r="411" ht="15.75" customHeight="1">
      <c r="C411" s="1"/>
      <c r="D411" s="1"/>
      <c r="E411" s="1"/>
      <c r="F411" s="1"/>
      <c r="G411" s="1"/>
      <c r="T411" s="1"/>
      <c r="X411" s="1"/>
    </row>
    <row r="412" ht="15.75" customHeight="1">
      <c r="C412" s="1"/>
      <c r="D412" s="1"/>
      <c r="E412" s="1"/>
      <c r="F412" s="1"/>
      <c r="G412" s="1"/>
      <c r="T412" s="1"/>
      <c r="X412" s="1"/>
    </row>
    <row r="413" ht="15.75" customHeight="1">
      <c r="C413" s="1"/>
      <c r="D413" s="1"/>
      <c r="E413" s="1"/>
      <c r="F413" s="1"/>
      <c r="G413" s="1"/>
      <c r="T413" s="1"/>
      <c r="X413" s="1"/>
    </row>
    <row r="414" ht="15.75" customHeight="1">
      <c r="C414" s="1"/>
      <c r="D414" s="1"/>
      <c r="E414" s="1"/>
      <c r="F414" s="1"/>
      <c r="G414" s="1"/>
      <c r="T414" s="1"/>
      <c r="X414" s="1"/>
    </row>
    <row r="415" ht="15.75" customHeight="1">
      <c r="C415" s="1"/>
      <c r="D415" s="1"/>
      <c r="E415" s="1"/>
      <c r="F415" s="1"/>
      <c r="G415" s="1"/>
      <c r="T415" s="1"/>
      <c r="X415" s="1"/>
    </row>
    <row r="416" ht="15.75" customHeight="1">
      <c r="C416" s="1"/>
      <c r="D416" s="1"/>
      <c r="E416" s="1"/>
      <c r="F416" s="1"/>
      <c r="G416" s="1"/>
      <c r="T416" s="1"/>
      <c r="X416" s="1"/>
    </row>
    <row r="417" ht="15.75" customHeight="1">
      <c r="C417" s="1"/>
      <c r="D417" s="1"/>
      <c r="E417" s="1"/>
      <c r="F417" s="1"/>
      <c r="G417" s="1"/>
      <c r="T417" s="1"/>
      <c r="X417" s="1"/>
    </row>
    <row r="418" ht="15.75" customHeight="1">
      <c r="C418" s="1"/>
      <c r="D418" s="1"/>
      <c r="E418" s="1"/>
      <c r="F418" s="1"/>
      <c r="G418" s="1"/>
      <c r="T418" s="1"/>
      <c r="X418" s="1"/>
    </row>
    <row r="419" ht="15.75" customHeight="1">
      <c r="C419" s="1"/>
      <c r="D419" s="1"/>
      <c r="E419" s="1"/>
      <c r="F419" s="1"/>
      <c r="G419" s="1"/>
      <c r="T419" s="1"/>
      <c r="X419" s="1"/>
    </row>
    <row r="420" ht="15.75" customHeight="1">
      <c r="C420" s="1"/>
      <c r="D420" s="1"/>
      <c r="E420" s="1"/>
      <c r="F420" s="1"/>
      <c r="G420" s="1"/>
      <c r="T420" s="1"/>
      <c r="X420" s="1"/>
    </row>
    <row r="421" ht="15.75" customHeight="1">
      <c r="C421" s="1"/>
      <c r="D421" s="1"/>
      <c r="E421" s="1"/>
      <c r="F421" s="1"/>
      <c r="G421" s="1"/>
      <c r="T421" s="1"/>
      <c r="X421" s="1"/>
    </row>
    <row r="422" ht="15.75" customHeight="1">
      <c r="C422" s="1"/>
      <c r="D422" s="1"/>
      <c r="E422" s="1"/>
      <c r="F422" s="1"/>
      <c r="G422" s="1"/>
      <c r="T422" s="1"/>
      <c r="X422" s="1"/>
    </row>
    <row r="423" ht="15.75" customHeight="1">
      <c r="C423" s="1"/>
      <c r="D423" s="1"/>
      <c r="E423" s="1"/>
      <c r="F423" s="1"/>
      <c r="G423" s="1"/>
      <c r="T423" s="1"/>
      <c r="X423" s="1"/>
    </row>
    <row r="424" ht="15.75" customHeight="1">
      <c r="C424" s="1"/>
      <c r="D424" s="1"/>
      <c r="E424" s="1"/>
      <c r="F424" s="1"/>
      <c r="G424" s="1"/>
      <c r="T424" s="1"/>
      <c r="X424" s="1"/>
    </row>
    <row r="425" ht="15.75" customHeight="1">
      <c r="C425" s="1"/>
      <c r="D425" s="1"/>
      <c r="E425" s="1"/>
      <c r="F425" s="1"/>
      <c r="G425" s="1"/>
      <c r="T425" s="1"/>
      <c r="X425" s="1"/>
    </row>
    <row r="426" ht="15.75" customHeight="1">
      <c r="C426" s="1"/>
      <c r="D426" s="1"/>
      <c r="E426" s="1"/>
      <c r="F426" s="1"/>
      <c r="G426" s="1"/>
      <c r="T426" s="1"/>
      <c r="X426" s="1"/>
    </row>
    <row r="427" ht="15.75" customHeight="1">
      <c r="C427" s="1"/>
      <c r="D427" s="1"/>
      <c r="E427" s="1"/>
      <c r="F427" s="1"/>
      <c r="G427" s="1"/>
      <c r="T427" s="1"/>
      <c r="X427" s="1"/>
    </row>
    <row r="428" ht="15.75" customHeight="1">
      <c r="C428" s="1"/>
      <c r="D428" s="1"/>
      <c r="E428" s="1"/>
      <c r="F428" s="1"/>
      <c r="G428" s="1"/>
      <c r="T428" s="1"/>
      <c r="X428" s="1"/>
    </row>
    <row r="429" ht="15.75" customHeight="1">
      <c r="C429" s="1"/>
      <c r="D429" s="1"/>
      <c r="E429" s="1"/>
      <c r="F429" s="1"/>
      <c r="G429" s="1"/>
      <c r="T429" s="1"/>
      <c r="X429" s="1"/>
    </row>
    <row r="430" ht="15.75" customHeight="1">
      <c r="C430" s="1"/>
      <c r="D430" s="1"/>
      <c r="E430" s="1"/>
      <c r="F430" s="1"/>
      <c r="G430" s="1"/>
      <c r="T430" s="1"/>
      <c r="X430" s="1"/>
    </row>
    <row r="431" ht="15.75" customHeight="1">
      <c r="C431" s="1"/>
      <c r="D431" s="1"/>
      <c r="E431" s="1"/>
      <c r="F431" s="1"/>
      <c r="G431" s="1"/>
      <c r="T431" s="1"/>
      <c r="X431" s="1"/>
    </row>
    <row r="432" ht="15.75" customHeight="1">
      <c r="C432" s="1"/>
      <c r="D432" s="1"/>
      <c r="E432" s="1"/>
      <c r="F432" s="1"/>
      <c r="G432" s="1"/>
      <c r="T432" s="1"/>
      <c r="X432" s="1"/>
    </row>
    <row r="433" ht="15.75" customHeight="1">
      <c r="C433" s="1"/>
      <c r="D433" s="1"/>
      <c r="E433" s="1"/>
      <c r="F433" s="1"/>
      <c r="G433" s="1"/>
      <c r="T433" s="1"/>
      <c r="X433" s="1"/>
    </row>
    <row r="434" ht="15.75" customHeight="1">
      <c r="C434" s="1"/>
      <c r="D434" s="1"/>
      <c r="E434" s="1"/>
      <c r="F434" s="1"/>
      <c r="G434" s="1"/>
      <c r="T434" s="1"/>
      <c r="X434" s="1"/>
    </row>
    <row r="435" ht="15.75" customHeight="1">
      <c r="C435" s="1"/>
      <c r="D435" s="1"/>
      <c r="E435" s="1"/>
      <c r="F435" s="1"/>
      <c r="G435" s="1"/>
      <c r="T435" s="1"/>
      <c r="X435" s="1"/>
    </row>
    <row r="436" ht="15.75" customHeight="1">
      <c r="C436" s="1"/>
      <c r="D436" s="1"/>
      <c r="E436" s="1"/>
      <c r="F436" s="1"/>
      <c r="G436" s="1"/>
      <c r="T436" s="1"/>
      <c r="X436" s="1"/>
    </row>
    <row r="437" ht="15.75" customHeight="1">
      <c r="C437" s="1"/>
      <c r="D437" s="1"/>
      <c r="E437" s="1"/>
      <c r="F437" s="1"/>
      <c r="G437" s="1"/>
      <c r="T437" s="1"/>
      <c r="X437" s="1"/>
    </row>
    <row r="438" ht="15.75" customHeight="1">
      <c r="C438" s="1"/>
      <c r="D438" s="1"/>
      <c r="E438" s="1"/>
      <c r="F438" s="1"/>
      <c r="G438" s="1"/>
      <c r="T438" s="1"/>
      <c r="X438" s="1"/>
    </row>
    <row r="439" ht="15.75" customHeight="1">
      <c r="C439" s="1"/>
      <c r="D439" s="1"/>
      <c r="E439" s="1"/>
      <c r="F439" s="1"/>
      <c r="G439" s="1"/>
      <c r="T439" s="1"/>
      <c r="X439" s="1"/>
    </row>
    <row r="440" ht="15.75" customHeight="1">
      <c r="C440" s="1"/>
      <c r="D440" s="1"/>
      <c r="E440" s="1"/>
      <c r="F440" s="1"/>
      <c r="G440" s="1"/>
      <c r="T440" s="1"/>
      <c r="X440" s="1"/>
    </row>
    <row r="441" ht="15.75" customHeight="1">
      <c r="C441" s="1"/>
      <c r="D441" s="1"/>
      <c r="E441" s="1"/>
      <c r="F441" s="1"/>
      <c r="G441" s="1"/>
      <c r="T441" s="1"/>
      <c r="X441" s="1"/>
    </row>
    <row r="442" ht="15.75" customHeight="1">
      <c r="C442" s="1"/>
      <c r="D442" s="1"/>
      <c r="E442" s="1"/>
      <c r="F442" s="1"/>
      <c r="G442" s="1"/>
      <c r="T442" s="1"/>
      <c r="X442" s="1"/>
    </row>
    <row r="443" ht="15.75" customHeight="1">
      <c r="C443" s="1"/>
      <c r="D443" s="1"/>
      <c r="E443" s="1"/>
      <c r="F443" s="1"/>
      <c r="G443" s="1"/>
      <c r="T443" s="1"/>
      <c r="X443" s="1"/>
    </row>
    <row r="444" ht="15.75" customHeight="1">
      <c r="C444" s="1"/>
      <c r="D444" s="1"/>
      <c r="E444" s="1"/>
      <c r="F444" s="1"/>
      <c r="G444" s="1"/>
      <c r="T444" s="1"/>
      <c r="X444" s="1"/>
    </row>
    <row r="445" ht="15.75" customHeight="1">
      <c r="C445" s="1"/>
      <c r="D445" s="1"/>
      <c r="E445" s="1"/>
      <c r="F445" s="1"/>
      <c r="G445" s="1"/>
      <c r="T445" s="1"/>
      <c r="X445" s="1"/>
    </row>
    <row r="446" ht="15.75" customHeight="1">
      <c r="C446" s="1"/>
      <c r="D446" s="1"/>
      <c r="E446" s="1"/>
      <c r="F446" s="1"/>
      <c r="G446" s="1"/>
      <c r="T446" s="1"/>
      <c r="X446" s="1"/>
    </row>
    <row r="447" ht="15.75" customHeight="1">
      <c r="C447" s="1"/>
      <c r="D447" s="1"/>
      <c r="E447" s="1"/>
      <c r="F447" s="1"/>
      <c r="G447" s="1"/>
      <c r="T447" s="1"/>
      <c r="X447" s="1"/>
    </row>
    <row r="448" ht="15.75" customHeight="1">
      <c r="C448" s="1"/>
      <c r="D448" s="1"/>
      <c r="E448" s="1"/>
      <c r="F448" s="1"/>
      <c r="G448" s="1"/>
      <c r="T448" s="1"/>
      <c r="X448" s="1"/>
    </row>
    <row r="449" ht="15.75" customHeight="1">
      <c r="C449" s="1"/>
      <c r="D449" s="1"/>
      <c r="E449" s="1"/>
      <c r="F449" s="1"/>
      <c r="G449" s="1"/>
      <c r="T449" s="1"/>
      <c r="X449" s="1"/>
    </row>
    <row r="450" ht="15.75" customHeight="1">
      <c r="C450" s="1"/>
      <c r="D450" s="1"/>
      <c r="E450" s="1"/>
      <c r="F450" s="1"/>
      <c r="G450" s="1"/>
      <c r="T450" s="1"/>
      <c r="X450" s="1"/>
    </row>
    <row r="451" ht="15.75" customHeight="1">
      <c r="C451" s="1"/>
      <c r="D451" s="1"/>
      <c r="E451" s="1"/>
      <c r="F451" s="1"/>
      <c r="G451" s="1"/>
      <c r="T451" s="1"/>
      <c r="X451" s="1"/>
    </row>
    <row r="452" ht="15.75" customHeight="1">
      <c r="C452" s="1"/>
      <c r="D452" s="1"/>
      <c r="E452" s="1"/>
      <c r="F452" s="1"/>
      <c r="G452" s="1"/>
      <c r="T452" s="1"/>
      <c r="X452" s="1"/>
    </row>
    <row r="453" ht="15.75" customHeight="1">
      <c r="C453" s="1"/>
      <c r="D453" s="1"/>
      <c r="E453" s="1"/>
      <c r="F453" s="1"/>
      <c r="G453" s="1"/>
      <c r="T453" s="1"/>
      <c r="X453" s="1"/>
    </row>
    <row r="454" ht="15.75" customHeight="1">
      <c r="C454" s="1"/>
      <c r="D454" s="1"/>
      <c r="E454" s="1"/>
      <c r="F454" s="1"/>
      <c r="G454" s="1"/>
      <c r="T454" s="1"/>
      <c r="X454" s="1"/>
    </row>
    <row r="455" ht="15.75" customHeight="1">
      <c r="C455" s="1"/>
      <c r="D455" s="1"/>
      <c r="E455" s="1"/>
      <c r="F455" s="1"/>
      <c r="G455" s="1"/>
      <c r="T455" s="1"/>
      <c r="X455" s="1"/>
    </row>
    <row r="456" ht="15.75" customHeight="1">
      <c r="C456" s="1"/>
      <c r="D456" s="1"/>
      <c r="E456" s="1"/>
      <c r="F456" s="1"/>
      <c r="G456" s="1"/>
      <c r="T456" s="1"/>
      <c r="X456" s="1"/>
    </row>
    <row r="457" ht="15.75" customHeight="1">
      <c r="C457" s="1"/>
      <c r="D457" s="1"/>
      <c r="E457" s="1"/>
      <c r="F457" s="1"/>
      <c r="G457" s="1"/>
      <c r="T457" s="1"/>
      <c r="X457" s="1"/>
    </row>
    <row r="458" ht="15.75" customHeight="1">
      <c r="C458" s="1"/>
      <c r="D458" s="1"/>
      <c r="E458" s="1"/>
      <c r="F458" s="1"/>
      <c r="G458" s="1"/>
      <c r="T458" s="1"/>
      <c r="X458" s="1"/>
    </row>
    <row r="459" ht="15.75" customHeight="1">
      <c r="C459" s="1"/>
      <c r="D459" s="1"/>
      <c r="E459" s="1"/>
      <c r="F459" s="1"/>
      <c r="G459" s="1"/>
      <c r="T459" s="1"/>
      <c r="X459" s="1"/>
    </row>
    <row r="460" ht="15.75" customHeight="1">
      <c r="C460" s="1"/>
      <c r="D460" s="1"/>
      <c r="E460" s="1"/>
      <c r="F460" s="1"/>
      <c r="G460" s="1"/>
      <c r="T460" s="1"/>
      <c r="X460" s="1"/>
    </row>
    <row r="461" ht="15.75" customHeight="1">
      <c r="C461" s="1"/>
      <c r="D461" s="1"/>
      <c r="E461" s="1"/>
      <c r="F461" s="1"/>
      <c r="G461" s="1"/>
      <c r="T461" s="1"/>
      <c r="X461" s="1"/>
    </row>
    <row r="462" ht="15.75" customHeight="1">
      <c r="C462" s="1"/>
      <c r="D462" s="1"/>
      <c r="E462" s="1"/>
      <c r="F462" s="1"/>
      <c r="G462" s="1"/>
      <c r="T462" s="1"/>
      <c r="X462" s="1"/>
    </row>
    <row r="463" ht="15.75" customHeight="1">
      <c r="C463" s="1"/>
      <c r="D463" s="1"/>
      <c r="E463" s="1"/>
      <c r="F463" s="1"/>
      <c r="G463" s="1"/>
      <c r="T463" s="1"/>
      <c r="X463" s="1"/>
    </row>
    <row r="464" ht="15.75" customHeight="1">
      <c r="C464" s="1"/>
      <c r="D464" s="1"/>
      <c r="E464" s="1"/>
      <c r="F464" s="1"/>
      <c r="G464" s="1"/>
      <c r="T464" s="1"/>
      <c r="X464" s="1"/>
    </row>
    <row r="465" ht="15.75" customHeight="1">
      <c r="C465" s="1"/>
      <c r="D465" s="1"/>
      <c r="E465" s="1"/>
      <c r="F465" s="1"/>
      <c r="G465" s="1"/>
      <c r="T465" s="1"/>
      <c r="X465" s="1"/>
    </row>
    <row r="466" ht="15.75" customHeight="1">
      <c r="C466" s="1"/>
      <c r="D466" s="1"/>
      <c r="E466" s="1"/>
      <c r="F466" s="1"/>
      <c r="G466" s="1"/>
      <c r="T466" s="1"/>
      <c r="X466" s="1"/>
    </row>
    <row r="467" ht="15.75" customHeight="1">
      <c r="C467" s="1"/>
      <c r="D467" s="1"/>
      <c r="E467" s="1"/>
      <c r="F467" s="1"/>
      <c r="G467" s="1"/>
      <c r="T467" s="1"/>
      <c r="X467" s="1"/>
    </row>
    <row r="468" ht="15.75" customHeight="1">
      <c r="C468" s="1"/>
      <c r="D468" s="1"/>
      <c r="E468" s="1"/>
      <c r="F468" s="1"/>
      <c r="G468" s="1"/>
      <c r="T468" s="1"/>
      <c r="X468" s="1"/>
    </row>
    <row r="469" ht="15.75" customHeight="1">
      <c r="C469" s="1"/>
      <c r="D469" s="1"/>
      <c r="E469" s="1"/>
      <c r="F469" s="1"/>
      <c r="G469" s="1"/>
      <c r="T469" s="1"/>
      <c r="X469" s="1"/>
    </row>
    <row r="470" ht="15.75" customHeight="1">
      <c r="C470" s="1"/>
      <c r="D470" s="1"/>
      <c r="E470" s="1"/>
      <c r="F470" s="1"/>
      <c r="G470" s="1"/>
      <c r="T470" s="1"/>
      <c r="X470" s="1"/>
    </row>
    <row r="471" ht="15.75" customHeight="1">
      <c r="C471" s="1"/>
      <c r="D471" s="1"/>
      <c r="E471" s="1"/>
      <c r="F471" s="1"/>
      <c r="G471" s="1"/>
      <c r="T471" s="1"/>
      <c r="X471" s="1"/>
    </row>
    <row r="472" ht="15.75" customHeight="1">
      <c r="C472" s="1"/>
      <c r="D472" s="1"/>
      <c r="E472" s="1"/>
      <c r="F472" s="1"/>
      <c r="G472" s="1"/>
      <c r="T472" s="1"/>
      <c r="X472" s="1"/>
    </row>
    <row r="473" ht="15.75" customHeight="1">
      <c r="C473" s="1"/>
      <c r="D473" s="1"/>
      <c r="E473" s="1"/>
      <c r="F473" s="1"/>
      <c r="G473" s="1"/>
      <c r="T473" s="1"/>
      <c r="X473" s="1"/>
    </row>
    <row r="474" ht="15.75" customHeight="1">
      <c r="C474" s="1"/>
      <c r="D474" s="1"/>
      <c r="E474" s="1"/>
      <c r="F474" s="1"/>
      <c r="G474" s="1"/>
      <c r="T474" s="1"/>
      <c r="X474" s="1"/>
    </row>
    <row r="475" ht="15.75" customHeight="1">
      <c r="C475" s="1"/>
      <c r="D475" s="1"/>
      <c r="E475" s="1"/>
      <c r="F475" s="1"/>
      <c r="G475" s="1"/>
      <c r="T475" s="1"/>
      <c r="X475" s="1"/>
    </row>
    <row r="476" ht="15.75" customHeight="1">
      <c r="C476" s="1"/>
      <c r="D476" s="1"/>
      <c r="E476" s="1"/>
      <c r="F476" s="1"/>
      <c r="G476" s="1"/>
      <c r="T476" s="1"/>
      <c r="X476" s="1"/>
    </row>
    <row r="477" ht="15.75" customHeight="1">
      <c r="C477" s="1"/>
      <c r="D477" s="1"/>
      <c r="E477" s="1"/>
      <c r="F477" s="1"/>
      <c r="G477" s="1"/>
      <c r="T477" s="1"/>
      <c r="X477" s="1"/>
    </row>
    <row r="478" ht="15.75" customHeight="1">
      <c r="C478" s="1"/>
      <c r="D478" s="1"/>
      <c r="E478" s="1"/>
      <c r="F478" s="1"/>
      <c r="G478" s="1"/>
      <c r="T478" s="1"/>
      <c r="X478" s="1"/>
    </row>
    <row r="479" ht="15.75" customHeight="1">
      <c r="C479" s="1"/>
      <c r="D479" s="1"/>
      <c r="E479" s="1"/>
      <c r="F479" s="1"/>
      <c r="G479" s="1"/>
      <c r="T479" s="1"/>
      <c r="X479" s="1"/>
    </row>
    <row r="480" ht="15.75" customHeight="1">
      <c r="C480" s="1"/>
      <c r="D480" s="1"/>
      <c r="E480" s="1"/>
      <c r="F480" s="1"/>
      <c r="G480" s="1"/>
      <c r="T480" s="1"/>
      <c r="X480" s="1"/>
    </row>
    <row r="481" ht="15.75" customHeight="1">
      <c r="C481" s="1"/>
      <c r="D481" s="1"/>
      <c r="E481" s="1"/>
      <c r="F481" s="1"/>
      <c r="G481" s="1"/>
      <c r="T481" s="1"/>
      <c r="X481" s="1"/>
    </row>
    <row r="482" ht="15.75" customHeight="1">
      <c r="C482" s="1"/>
      <c r="D482" s="1"/>
      <c r="E482" s="1"/>
      <c r="F482" s="1"/>
      <c r="G482" s="1"/>
      <c r="T482" s="1"/>
      <c r="X482" s="1"/>
    </row>
    <row r="483" ht="15.75" customHeight="1">
      <c r="C483" s="1"/>
      <c r="D483" s="1"/>
      <c r="E483" s="1"/>
      <c r="F483" s="1"/>
      <c r="G483" s="1"/>
      <c r="T483" s="1"/>
      <c r="X483" s="1"/>
    </row>
    <row r="484" ht="15.75" customHeight="1">
      <c r="C484" s="1"/>
      <c r="D484" s="1"/>
      <c r="E484" s="1"/>
      <c r="F484" s="1"/>
      <c r="G484" s="1"/>
      <c r="T484" s="1"/>
      <c r="X484" s="1"/>
    </row>
    <row r="485" ht="15.75" customHeight="1">
      <c r="C485" s="1"/>
      <c r="D485" s="1"/>
      <c r="E485" s="1"/>
      <c r="F485" s="1"/>
      <c r="G485" s="1"/>
      <c r="T485" s="1"/>
      <c r="X485" s="1"/>
    </row>
    <row r="486" ht="15.75" customHeight="1">
      <c r="C486" s="1"/>
      <c r="D486" s="1"/>
      <c r="E486" s="1"/>
      <c r="F486" s="1"/>
      <c r="G486" s="1"/>
      <c r="T486" s="1"/>
      <c r="X486" s="1"/>
    </row>
    <row r="487" ht="15.75" customHeight="1">
      <c r="C487" s="1"/>
      <c r="D487" s="1"/>
      <c r="E487" s="1"/>
      <c r="F487" s="1"/>
      <c r="G487" s="1"/>
      <c r="T487" s="1"/>
      <c r="X487" s="1"/>
    </row>
    <row r="488" ht="15.75" customHeight="1">
      <c r="C488" s="1"/>
      <c r="D488" s="1"/>
      <c r="E488" s="1"/>
      <c r="F488" s="1"/>
      <c r="G488" s="1"/>
      <c r="T488" s="1"/>
      <c r="X488" s="1"/>
    </row>
    <row r="489" ht="15.75" customHeight="1">
      <c r="C489" s="1"/>
      <c r="D489" s="1"/>
      <c r="E489" s="1"/>
      <c r="F489" s="1"/>
      <c r="G489" s="1"/>
      <c r="T489" s="1"/>
      <c r="X489" s="1"/>
    </row>
    <row r="490" ht="15.75" customHeight="1">
      <c r="C490" s="1"/>
      <c r="D490" s="1"/>
      <c r="E490" s="1"/>
      <c r="F490" s="1"/>
      <c r="G490" s="1"/>
      <c r="T490" s="1"/>
      <c r="X490" s="1"/>
    </row>
    <row r="491" ht="15.75" customHeight="1">
      <c r="C491" s="1"/>
      <c r="D491" s="1"/>
      <c r="E491" s="1"/>
      <c r="F491" s="1"/>
      <c r="G491" s="1"/>
      <c r="T491" s="1"/>
      <c r="X491" s="1"/>
    </row>
    <row r="492" ht="15.75" customHeight="1">
      <c r="C492" s="1"/>
      <c r="D492" s="1"/>
      <c r="E492" s="1"/>
      <c r="F492" s="1"/>
      <c r="G492" s="1"/>
      <c r="T492" s="1"/>
      <c r="X492" s="1"/>
    </row>
    <row r="493" ht="15.75" customHeight="1">
      <c r="C493" s="1"/>
      <c r="D493" s="1"/>
      <c r="E493" s="1"/>
      <c r="F493" s="1"/>
      <c r="G493" s="1"/>
      <c r="T493" s="1"/>
      <c r="X493" s="1"/>
    </row>
    <row r="494" ht="15.75" customHeight="1">
      <c r="C494" s="1"/>
      <c r="D494" s="1"/>
      <c r="E494" s="1"/>
      <c r="F494" s="1"/>
      <c r="G494" s="1"/>
      <c r="T494" s="1"/>
      <c r="X494" s="1"/>
    </row>
    <row r="495" ht="15.75" customHeight="1">
      <c r="C495" s="1"/>
      <c r="D495" s="1"/>
      <c r="E495" s="1"/>
      <c r="F495" s="1"/>
      <c r="G495" s="1"/>
      <c r="T495" s="1"/>
      <c r="X495" s="1"/>
    </row>
    <row r="496" ht="15.75" customHeight="1">
      <c r="C496" s="1"/>
      <c r="D496" s="1"/>
      <c r="E496" s="1"/>
      <c r="F496" s="1"/>
      <c r="G496" s="1"/>
      <c r="T496" s="1"/>
      <c r="X496" s="1"/>
    </row>
    <row r="497" ht="15.75" customHeight="1">
      <c r="C497" s="1"/>
      <c r="D497" s="1"/>
      <c r="E497" s="1"/>
      <c r="F497" s="1"/>
      <c r="G497" s="1"/>
      <c r="T497" s="1"/>
      <c r="X497" s="1"/>
    </row>
    <row r="498" ht="15.75" customHeight="1">
      <c r="C498" s="1"/>
      <c r="D498" s="1"/>
      <c r="E498" s="1"/>
      <c r="F498" s="1"/>
      <c r="G498" s="1"/>
      <c r="T498" s="1"/>
      <c r="X498" s="1"/>
    </row>
    <row r="499" ht="15.75" customHeight="1">
      <c r="C499" s="1"/>
      <c r="D499" s="1"/>
      <c r="E499" s="1"/>
      <c r="F499" s="1"/>
      <c r="G499" s="1"/>
      <c r="T499" s="1"/>
      <c r="X499" s="1"/>
    </row>
    <row r="500" ht="15.75" customHeight="1">
      <c r="C500" s="1"/>
      <c r="D500" s="1"/>
      <c r="E500" s="1"/>
      <c r="F500" s="1"/>
      <c r="G500" s="1"/>
      <c r="T500" s="1"/>
      <c r="X500" s="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Y1"/>
    <mergeCell ref="A2:Y2"/>
  </mergeCells>
  <conditionalFormatting sqref="P5:P106">
    <cfRule type="colorScale" priority="1">
      <colorScale>
        <cfvo type="formula" val="0"/>
        <cfvo type="formula" val="0.7"/>
        <cfvo type="formula" val="1"/>
        <color rgb="FFF8696B"/>
        <color rgb="FFFFEB84"/>
        <color rgb="FF63BE7B"/>
      </colorScale>
    </cfRule>
  </conditionalFormatting>
  <conditionalFormatting sqref="S5:S121">
    <cfRule type="colorScale" priority="2">
      <colorScale>
        <cfvo type="formula" val="0"/>
        <cfvo type="formula" val="0.7"/>
        <cfvo type="formula" val="1"/>
        <color rgb="FFF8696B"/>
        <color rgb="FFFFEB84"/>
        <color rgb="FF63BE7B"/>
      </colorScale>
    </cfRule>
  </conditionalFormatting>
  <conditionalFormatting sqref="W5:W111">
    <cfRule type="expression" dxfId="0" priority="3">
      <formula>W5="Win"</formula>
    </cfRule>
  </conditionalFormatting>
  <conditionalFormatting sqref="W5:W111">
    <cfRule type="expression" dxfId="1" priority="4">
      <formula>W5="Loss"</formula>
    </cfRule>
  </conditionalFormatting>
  <dataValidations>
    <dataValidation type="decimal" allowBlank="1" sqref="X5:X500">
      <formula1>Lists!$F$2:$F$6</formula1>
      <formula2>0.0</formula2>
    </dataValidation>
    <dataValidation type="list" allowBlank="1" sqref="T5:T500">
      <formula1>Lists!$E$2:$E$8</formula1>
    </dataValidation>
    <dataValidation type="list" allowBlank="1" sqref="D5:D500">
      <formula1>Lists!$C$2:$C$6</formula1>
    </dataValidation>
    <dataValidation type="list" allowBlank="1" sqref="E5:E19 E35 E42 E132:E500">
      <formula1>PlayerNames</formula1>
    </dataValidation>
    <dataValidation type="list" allowBlank="1" sqref="F5:F500">
      <formula1>CoachNames</formula1>
    </dataValidation>
    <dataValidation type="list" allowBlank="1" sqref="E43:E131">
      <formula1>'Player Profile'!$B$5:$B$12</formula1>
    </dataValidation>
    <dataValidation type="list" allowBlank="1" sqref="C5:C500">
      <formula1>Lists!$B$2:$B$4</formula1>
    </dataValidation>
    <dataValidation type="list" allowBlank="1" sqref="E20:E34 E38:E41">
      <formula1>'Player Profile'!$B$5:$B$99</formula1>
    </dataValidation>
    <dataValidation type="list" allowBlank="1" sqref="G5:G500">
      <formula1>Lists!$D$2:$D$12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1.57"/>
    <col customWidth="1" min="4" max="4" width="17.29"/>
    <col customWidth="1" min="5" max="5" width="14.0"/>
    <col customWidth="1" min="6" max="6" width="22.0"/>
    <col customWidth="1" min="7" max="9" width="14.0"/>
    <col customWidth="1" min="10" max="10" width="12.0"/>
    <col customWidth="1" min="11" max="11" width="14.0"/>
    <col customWidth="1" min="12" max="12" width="11.0"/>
    <col customWidth="1" min="13" max="14" width="14.0"/>
    <col customWidth="1" min="15" max="15" width="15.0"/>
    <col customWidth="1" min="16" max="17" width="14.0"/>
    <col customWidth="1" min="18" max="18" width="28.0"/>
    <col customWidth="1" min="19" max="26" width="8.71"/>
  </cols>
  <sheetData>
    <row r="1" ht="24.0" customHeight="1">
      <c r="A1" s="3" t="s">
        <v>157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</row>
    <row r="2" ht="31.5" customHeight="1">
      <c r="A2" s="6" t="s">
        <v>158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4" ht="31.5" customHeight="1">
      <c r="A4" s="7" t="s">
        <v>159</v>
      </c>
      <c r="B4" s="7" t="s">
        <v>52</v>
      </c>
      <c r="C4" s="7" t="s">
        <v>103</v>
      </c>
      <c r="D4" s="7" t="s">
        <v>104</v>
      </c>
      <c r="E4" s="7" t="s">
        <v>160</v>
      </c>
      <c r="F4" s="7" t="s">
        <v>161</v>
      </c>
      <c r="G4" s="7" t="s">
        <v>162</v>
      </c>
      <c r="H4" s="7" t="s">
        <v>163</v>
      </c>
      <c r="I4" s="7" t="s">
        <v>164</v>
      </c>
      <c r="J4" s="7" t="s">
        <v>115</v>
      </c>
      <c r="K4" s="7" t="s">
        <v>116</v>
      </c>
      <c r="L4" s="7" t="s">
        <v>117</v>
      </c>
      <c r="M4" s="7" t="s">
        <v>118</v>
      </c>
      <c r="N4" s="7" t="s">
        <v>165</v>
      </c>
      <c r="O4" s="7" t="s">
        <v>166</v>
      </c>
      <c r="P4" s="7" t="s">
        <v>167</v>
      </c>
      <c r="Q4" s="7" t="s">
        <v>168</v>
      </c>
      <c r="R4" s="7" t="s">
        <v>59</v>
      </c>
    </row>
    <row r="5">
      <c r="A5" s="14" t="str">
        <f t="shared" ref="A5:A15" si="1">IF(B5="","","SM-"&amp;(ROW()-4))</f>
        <v>SM-1</v>
      </c>
      <c r="B5" s="9" t="s">
        <v>62</v>
      </c>
      <c r="C5" s="15">
        <v>46090.0</v>
      </c>
      <c r="D5" s="9" t="s">
        <v>11</v>
      </c>
      <c r="E5" s="9" t="s">
        <v>13</v>
      </c>
      <c r="F5" s="9" t="s">
        <v>125</v>
      </c>
      <c r="G5" s="9"/>
      <c r="H5" s="9"/>
      <c r="I5" s="9"/>
      <c r="J5" s="18" t="str">
        <f t="shared" ref="J5:J15" si="2">IFERROR(I5/H5,"")</f>
        <v/>
      </c>
      <c r="K5" s="9"/>
      <c r="L5" s="9"/>
      <c r="M5" s="18" t="str">
        <f t="shared" ref="M5:M15" si="3">IFERROR(L5/K5,"")</f>
        <v/>
      </c>
      <c r="N5" s="9"/>
      <c r="O5" s="9"/>
      <c r="P5" s="9"/>
      <c r="Q5" s="9"/>
      <c r="R5" s="9" t="s">
        <v>169</v>
      </c>
    </row>
    <row r="6">
      <c r="A6" s="14" t="str">
        <f t="shared" si="1"/>
        <v>SM-2</v>
      </c>
      <c r="B6" s="9" t="s">
        <v>62</v>
      </c>
      <c r="C6" s="15">
        <v>46090.0</v>
      </c>
      <c r="D6" s="9" t="s">
        <v>11</v>
      </c>
      <c r="E6" s="9" t="s">
        <v>13</v>
      </c>
      <c r="F6" s="9" t="s">
        <v>127</v>
      </c>
      <c r="G6" s="9"/>
      <c r="H6" s="9"/>
      <c r="I6" s="9"/>
      <c r="J6" s="18" t="str">
        <f t="shared" si="2"/>
        <v/>
      </c>
      <c r="K6" s="9"/>
      <c r="L6" s="9"/>
      <c r="M6" s="18" t="str">
        <f t="shared" si="3"/>
        <v/>
      </c>
      <c r="N6" s="9"/>
      <c r="O6" s="9"/>
      <c r="P6" s="9"/>
      <c r="Q6" s="9"/>
      <c r="R6" s="9"/>
    </row>
    <row r="7">
      <c r="A7" s="14" t="str">
        <f t="shared" si="1"/>
        <v>SM-3</v>
      </c>
      <c r="B7" s="9" t="s">
        <v>62</v>
      </c>
      <c r="C7" s="15">
        <v>46090.0</v>
      </c>
      <c r="D7" s="9" t="s">
        <v>11</v>
      </c>
      <c r="E7" s="9" t="s">
        <v>22</v>
      </c>
      <c r="F7" s="9" t="s">
        <v>128</v>
      </c>
      <c r="G7" s="9"/>
      <c r="H7" s="9"/>
      <c r="I7" s="9"/>
      <c r="J7" s="18" t="str">
        <f t="shared" si="2"/>
        <v/>
      </c>
      <c r="K7" s="9"/>
      <c r="L7" s="9"/>
      <c r="M7" s="18" t="str">
        <f t="shared" si="3"/>
        <v/>
      </c>
      <c r="N7" s="9"/>
      <c r="O7" s="9"/>
      <c r="P7" s="9"/>
      <c r="Q7" s="9"/>
      <c r="R7" s="9"/>
    </row>
    <row r="8">
      <c r="A8" s="14" t="str">
        <f t="shared" si="1"/>
        <v>SM-4</v>
      </c>
      <c r="B8" s="9" t="s">
        <v>66</v>
      </c>
      <c r="C8" s="15">
        <v>46090.0</v>
      </c>
      <c r="D8" s="9" t="s">
        <v>11</v>
      </c>
      <c r="E8" s="9" t="s">
        <v>13</v>
      </c>
      <c r="F8" s="9" t="s">
        <v>125</v>
      </c>
      <c r="G8" s="9"/>
      <c r="H8" s="9"/>
      <c r="I8" s="9"/>
      <c r="J8" s="18" t="str">
        <f t="shared" si="2"/>
        <v/>
      </c>
      <c r="K8" s="9"/>
      <c r="L8" s="9"/>
      <c r="M8" s="18" t="str">
        <f t="shared" si="3"/>
        <v/>
      </c>
      <c r="N8" s="9"/>
      <c r="O8" s="9"/>
      <c r="P8" s="9"/>
      <c r="Q8" s="9"/>
      <c r="R8" s="9" t="s">
        <v>169</v>
      </c>
    </row>
    <row r="9">
      <c r="A9" s="14" t="str">
        <f t="shared" si="1"/>
        <v>SM-5</v>
      </c>
      <c r="B9" s="9" t="s">
        <v>66</v>
      </c>
      <c r="C9" s="15">
        <v>46090.0</v>
      </c>
      <c r="D9" s="9" t="s">
        <v>11</v>
      </c>
      <c r="E9" s="9" t="s">
        <v>13</v>
      </c>
      <c r="F9" s="9" t="s">
        <v>127</v>
      </c>
      <c r="G9" s="9"/>
      <c r="H9" s="9"/>
      <c r="I9" s="9"/>
      <c r="J9" s="18" t="str">
        <f t="shared" si="2"/>
        <v/>
      </c>
      <c r="K9" s="9"/>
      <c r="L9" s="9"/>
      <c r="M9" s="18" t="str">
        <f t="shared" si="3"/>
        <v/>
      </c>
      <c r="N9" s="9"/>
      <c r="O9" s="9"/>
      <c r="P9" s="9"/>
      <c r="Q9" s="9"/>
      <c r="R9" s="9"/>
    </row>
    <row r="10">
      <c r="A10" s="14" t="str">
        <f t="shared" si="1"/>
        <v>SM-6</v>
      </c>
      <c r="B10" s="9" t="s">
        <v>66</v>
      </c>
      <c r="C10" s="15">
        <v>46090.0</v>
      </c>
      <c r="D10" s="9" t="s">
        <v>11</v>
      </c>
      <c r="E10" s="9" t="s">
        <v>22</v>
      </c>
      <c r="F10" s="9" t="s">
        <v>128</v>
      </c>
      <c r="G10" s="9"/>
      <c r="H10" s="9"/>
      <c r="I10" s="9"/>
      <c r="J10" s="18" t="str">
        <f t="shared" si="2"/>
        <v/>
      </c>
      <c r="K10" s="9"/>
      <c r="L10" s="9"/>
      <c r="M10" s="18" t="str">
        <f t="shared" si="3"/>
        <v/>
      </c>
      <c r="N10" s="9"/>
      <c r="O10" s="9"/>
      <c r="P10" s="9"/>
      <c r="Q10" s="9"/>
      <c r="R10" s="9"/>
    </row>
    <row r="11">
      <c r="A11" s="14" t="str">
        <f t="shared" si="1"/>
        <v>SM-7</v>
      </c>
      <c r="B11" s="9" t="s">
        <v>70</v>
      </c>
      <c r="C11" s="15">
        <v>46090.0</v>
      </c>
      <c r="D11" s="9" t="s">
        <v>11</v>
      </c>
      <c r="E11" s="9" t="s">
        <v>13</v>
      </c>
      <c r="F11" s="9" t="s">
        <v>125</v>
      </c>
      <c r="G11" s="9"/>
      <c r="H11" s="9"/>
      <c r="I11" s="9"/>
      <c r="J11" s="18" t="str">
        <f t="shared" si="2"/>
        <v/>
      </c>
      <c r="K11" s="9"/>
      <c r="L11" s="9"/>
      <c r="M11" s="18" t="str">
        <f t="shared" si="3"/>
        <v/>
      </c>
      <c r="N11" s="9"/>
      <c r="O11" s="9"/>
      <c r="P11" s="9"/>
      <c r="Q11" s="9"/>
      <c r="R11" s="9" t="s">
        <v>169</v>
      </c>
    </row>
    <row r="12">
      <c r="A12" s="14" t="str">
        <f t="shared" si="1"/>
        <v>SM-8</v>
      </c>
      <c r="B12" s="9" t="s">
        <v>70</v>
      </c>
      <c r="C12" s="15">
        <v>46090.0</v>
      </c>
      <c r="D12" s="9" t="s">
        <v>11</v>
      </c>
      <c r="E12" s="9" t="s">
        <v>13</v>
      </c>
      <c r="F12" s="9" t="s">
        <v>127</v>
      </c>
      <c r="G12" s="9"/>
      <c r="H12" s="9"/>
      <c r="I12" s="9"/>
      <c r="J12" s="18" t="str">
        <f t="shared" si="2"/>
        <v/>
      </c>
      <c r="K12" s="9"/>
      <c r="L12" s="9"/>
      <c r="M12" s="18" t="str">
        <f t="shared" si="3"/>
        <v/>
      </c>
      <c r="N12" s="9"/>
      <c r="O12" s="9"/>
      <c r="P12" s="9"/>
      <c r="Q12" s="9"/>
      <c r="R12" s="9"/>
    </row>
    <row r="13">
      <c r="A13" s="14" t="str">
        <f t="shared" si="1"/>
        <v>SM-9</v>
      </c>
      <c r="B13" s="9" t="s">
        <v>70</v>
      </c>
      <c r="C13" s="15">
        <v>46090.0</v>
      </c>
      <c r="D13" s="9" t="s">
        <v>11</v>
      </c>
      <c r="E13" s="9" t="s">
        <v>22</v>
      </c>
      <c r="F13" s="9" t="s">
        <v>128</v>
      </c>
      <c r="G13" s="9"/>
      <c r="H13" s="9"/>
      <c r="I13" s="9"/>
      <c r="J13" s="18" t="str">
        <f t="shared" si="2"/>
        <v/>
      </c>
      <c r="K13" s="9"/>
      <c r="L13" s="9"/>
      <c r="M13" s="18" t="str">
        <f t="shared" si="3"/>
        <v/>
      </c>
      <c r="N13" s="9"/>
      <c r="O13" s="9"/>
      <c r="P13" s="9"/>
      <c r="Q13" s="9"/>
      <c r="R13" s="9"/>
    </row>
    <row r="14">
      <c r="A14" s="14" t="str">
        <f t="shared" si="1"/>
        <v>SM-10</v>
      </c>
      <c r="B14" s="9" t="s">
        <v>74</v>
      </c>
      <c r="C14" s="15">
        <v>46090.0</v>
      </c>
      <c r="D14" s="9" t="s">
        <v>11</v>
      </c>
      <c r="E14" s="9" t="s">
        <v>13</v>
      </c>
      <c r="F14" s="9" t="s">
        <v>125</v>
      </c>
      <c r="G14" s="9"/>
      <c r="H14" s="9"/>
      <c r="I14" s="9"/>
      <c r="J14" s="18" t="str">
        <f t="shared" si="2"/>
        <v/>
      </c>
      <c r="K14" s="9"/>
      <c r="L14" s="9"/>
      <c r="M14" s="18" t="str">
        <f t="shared" si="3"/>
        <v/>
      </c>
      <c r="N14" s="9"/>
      <c r="O14" s="9"/>
      <c r="P14" s="9"/>
      <c r="Q14" s="9"/>
      <c r="R14" s="9" t="s">
        <v>169</v>
      </c>
    </row>
    <row r="15">
      <c r="A15" s="14" t="str">
        <f t="shared" si="1"/>
        <v>SM-11</v>
      </c>
      <c r="B15" s="9" t="s">
        <v>74</v>
      </c>
      <c r="C15" s="15">
        <v>46090.0</v>
      </c>
      <c r="D15" s="9" t="s">
        <v>11</v>
      </c>
      <c r="E15" s="9" t="s">
        <v>13</v>
      </c>
      <c r="F15" s="9" t="s">
        <v>127</v>
      </c>
      <c r="G15" s="9"/>
      <c r="H15" s="9"/>
      <c r="I15" s="9"/>
      <c r="J15" s="18" t="str">
        <f t="shared" si="2"/>
        <v/>
      </c>
      <c r="K15" s="9"/>
      <c r="L15" s="9"/>
      <c r="M15" s="18" t="str">
        <f t="shared" si="3"/>
        <v/>
      </c>
      <c r="N15" s="9"/>
      <c r="O15" s="9"/>
      <c r="P15" s="9"/>
      <c r="Q15" s="9"/>
      <c r="R15" s="9"/>
    </row>
    <row r="16">
      <c r="B16" s="1"/>
      <c r="D16" s="1"/>
      <c r="E16" s="1"/>
      <c r="Q16" s="1"/>
    </row>
    <row r="17">
      <c r="B17" s="1"/>
      <c r="D17" s="1"/>
      <c r="E17" s="1"/>
      <c r="Q17" s="1"/>
    </row>
    <row r="18">
      <c r="B18" s="1"/>
      <c r="D18" s="1"/>
      <c r="E18" s="1"/>
      <c r="Q18" s="1"/>
    </row>
    <row r="19">
      <c r="B19" s="1"/>
      <c r="D19" s="1"/>
      <c r="E19" s="1"/>
      <c r="Q19" s="1"/>
    </row>
    <row r="20">
      <c r="B20" s="1"/>
      <c r="D20" s="1"/>
      <c r="E20" s="1"/>
      <c r="Q20" s="1"/>
    </row>
    <row r="21" ht="15.75" customHeight="1">
      <c r="B21" s="1"/>
      <c r="D21" s="1"/>
      <c r="E21" s="1"/>
      <c r="Q21" s="1"/>
    </row>
    <row r="22" ht="15.75" customHeight="1">
      <c r="B22" s="1"/>
      <c r="D22" s="1"/>
      <c r="E22" s="1"/>
      <c r="Q22" s="1"/>
    </row>
    <row r="23" ht="15.75" customHeight="1">
      <c r="B23" s="1"/>
      <c r="D23" s="1"/>
      <c r="E23" s="1"/>
      <c r="Q23" s="1"/>
    </row>
    <row r="24" ht="15.75" customHeight="1">
      <c r="B24" s="1"/>
      <c r="D24" s="1"/>
      <c r="E24" s="1"/>
      <c r="Q24" s="1"/>
    </row>
    <row r="25" ht="15.75" customHeight="1">
      <c r="B25" s="1"/>
      <c r="D25" s="1"/>
      <c r="E25" s="1"/>
      <c r="Q25" s="1"/>
    </row>
    <row r="26" ht="15.75" customHeight="1">
      <c r="B26" s="1"/>
      <c r="D26" s="1"/>
      <c r="E26" s="1"/>
      <c r="Q26" s="1"/>
    </row>
    <row r="27" ht="15.75" customHeight="1">
      <c r="B27" s="1"/>
      <c r="D27" s="1"/>
      <c r="E27" s="1"/>
      <c r="Q27" s="1"/>
    </row>
    <row r="28" ht="15.75" customHeight="1">
      <c r="B28" s="1"/>
      <c r="D28" s="1"/>
      <c r="E28" s="1"/>
      <c r="Q28" s="1"/>
    </row>
    <row r="29" ht="15.75" customHeight="1">
      <c r="B29" s="1"/>
      <c r="D29" s="1"/>
      <c r="E29" s="1"/>
      <c r="Q29" s="1"/>
    </row>
    <row r="30" ht="15.75" customHeight="1">
      <c r="B30" s="1"/>
      <c r="D30" s="1"/>
      <c r="E30" s="1"/>
      <c r="Q30" s="1"/>
    </row>
    <row r="31" ht="15.75" customHeight="1">
      <c r="B31" s="1"/>
      <c r="D31" s="1"/>
      <c r="E31" s="1"/>
      <c r="Q31" s="1"/>
    </row>
    <row r="32" ht="15.75" customHeight="1">
      <c r="B32" s="1"/>
      <c r="D32" s="1"/>
      <c r="E32" s="1"/>
      <c r="Q32" s="1"/>
    </row>
    <row r="33" ht="15.75" customHeight="1">
      <c r="B33" s="1"/>
      <c r="D33" s="1"/>
      <c r="E33" s="1"/>
      <c r="Q33" s="1"/>
    </row>
    <row r="34" ht="15.75" customHeight="1">
      <c r="B34" s="1"/>
      <c r="D34" s="1"/>
      <c r="E34" s="1"/>
      <c r="Q34" s="1"/>
    </row>
    <row r="35" ht="15.75" customHeight="1">
      <c r="B35" s="1"/>
      <c r="D35" s="1"/>
      <c r="E35" s="1"/>
      <c r="Q35" s="1"/>
    </row>
    <row r="36" ht="15.75" customHeight="1">
      <c r="B36" s="1"/>
      <c r="D36" s="1"/>
      <c r="E36" s="1"/>
      <c r="Q36" s="1"/>
    </row>
    <row r="37" ht="15.75" customHeight="1">
      <c r="B37" s="1"/>
      <c r="D37" s="1"/>
      <c r="E37" s="1"/>
      <c r="Q37" s="1"/>
    </row>
    <row r="38" ht="15.75" customHeight="1">
      <c r="B38" s="1"/>
      <c r="D38" s="1"/>
      <c r="E38" s="1"/>
      <c r="Q38" s="1"/>
    </row>
    <row r="39" ht="15.75" customHeight="1">
      <c r="B39" s="1"/>
      <c r="D39" s="1"/>
      <c r="E39" s="1"/>
      <c r="Q39" s="1"/>
    </row>
    <row r="40" ht="15.75" customHeight="1">
      <c r="B40" s="1"/>
      <c r="D40" s="1"/>
      <c r="E40" s="1"/>
      <c r="Q40" s="1"/>
    </row>
    <row r="41" ht="15.75" customHeight="1">
      <c r="B41" s="1"/>
      <c r="D41" s="1"/>
      <c r="E41" s="1"/>
      <c r="Q41" s="1"/>
    </row>
    <row r="42" ht="15.75" customHeight="1">
      <c r="B42" s="1"/>
      <c r="D42" s="1"/>
      <c r="E42" s="1"/>
      <c r="Q42" s="1"/>
    </row>
    <row r="43" ht="15.75" customHeight="1">
      <c r="B43" s="1"/>
      <c r="D43" s="1"/>
      <c r="E43" s="1"/>
      <c r="Q43" s="1"/>
    </row>
    <row r="44" ht="15.75" customHeight="1">
      <c r="B44" s="1"/>
      <c r="D44" s="1"/>
      <c r="E44" s="1"/>
      <c r="Q44" s="1"/>
    </row>
    <row r="45" ht="15.75" customHeight="1">
      <c r="B45" s="1"/>
      <c r="D45" s="1"/>
      <c r="E45" s="1"/>
      <c r="Q45" s="1"/>
    </row>
    <row r="46" ht="15.75" customHeight="1">
      <c r="B46" s="1"/>
      <c r="D46" s="1"/>
      <c r="E46" s="1"/>
      <c r="Q46" s="1"/>
    </row>
    <row r="47" ht="15.75" customHeight="1">
      <c r="B47" s="1"/>
      <c r="D47" s="1"/>
      <c r="E47" s="1"/>
      <c r="Q47" s="1"/>
    </row>
    <row r="48" ht="15.75" customHeight="1">
      <c r="B48" s="1"/>
      <c r="D48" s="1"/>
      <c r="E48" s="1"/>
      <c r="Q48" s="1"/>
    </row>
    <row r="49" ht="15.75" customHeight="1">
      <c r="B49" s="1"/>
      <c r="D49" s="1"/>
      <c r="E49" s="1"/>
      <c r="Q49" s="1"/>
    </row>
    <row r="50" ht="15.75" customHeight="1">
      <c r="B50" s="1"/>
      <c r="D50" s="1"/>
      <c r="E50" s="1"/>
      <c r="Q50" s="1"/>
    </row>
    <row r="51" ht="15.75" customHeight="1">
      <c r="B51" s="1"/>
      <c r="D51" s="1"/>
      <c r="E51" s="1"/>
      <c r="Q51" s="1"/>
    </row>
    <row r="52" ht="15.75" customHeight="1">
      <c r="B52" s="1"/>
      <c r="D52" s="1"/>
      <c r="E52" s="1"/>
      <c r="Q52" s="1"/>
    </row>
    <row r="53" ht="15.75" customHeight="1">
      <c r="B53" s="1"/>
      <c r="D53" s="1"/>
      <c r="E53" s="1"/>
      <c r="Q53" s="1"/>
    </row>
    <row r="54" ht="15.75" customHeight="1">
      <c r="B54" s="1"/>
      <c r="D54" s="1"/>
      <c r="E54" s="1"/>
      <c r="Q54" s="1"/>
    </row>
    <row r="55" ht="15.75" customHeight="1">
      <c r="B55" s="1"/>
      <c r="D55" s="1"/>
      <c r="E55" s="1"/>
      <c r="Q55" s="1"/>
    </row>
    <row r="56" ht="15.75" customHeight="1">
      <c r="B56" s="1"/>
      <c r="D56" s="1"/>
      <c r="E56" s="1"/>
      <c r="Q56" s="1"/>
    </row>
    <row r="57" ht="15.75" customHeight="1">
      <c r="B57" s="1"/>
      <c r="D57" s="1"/>
      <c r="E57" s="1"/>
      <c r="Q57" s="1"/>
    </row>
    <row r="58" ht="15.75" customHeight="1">
      <c r="B58" s="1"/>
      <c r="D58" s="1"/>
      <c r="E58" s="1"/>
      <c r="Q58" s="1"/>
    </row>
    <row r="59" ht="15.75" customHeight="1">
      <c r="B59" s="1"/>
      <c r="D59" s="1"/>
      <c r="E59" s="1"/>
      <c r="Q59" s="1"/>
    </row>
    <row r="60" ht="15.75" customHeight="1">
      <c r="B60" s="1"/>
      <c r="D60" s="1"/>
      <c r="E60" s="1"/>
      <c r="Q60" s="1"/>
    </row>
    <row r="61" ht="15.75" customHeight="1">
      <c r="B61" s="1"/>
      <c r="D61" s="1"/>
      <c r="E61" s="1"/>
      <c r="Q61" s="1"/>
    </row>
    <row r="62" ht="15.75" customHeight="1">
      <c r="B62" s="1"/>
      <c r="D62" s="1"/>
      <c r="E62" s="1"/>
      <c r="Q62" s="1"/>
    </row>
    <row r="63" ht="15.75" customHeight="1">
      <c r="B63" s="1"/>
      <c r="D63" s="1"/>
      <c r="E63" s="1"/>
      <c r="Q63" s="1"/>
    </row>
    <row r="64" ht="15.75" customHeight="1">
      <c r="B64" s="1"/>
      <c r="D64" s="1"/>
      <c r="E64" s="1"/>
      <c r="Q64" s="1"/>
    </row>
    <row r="65" ht="15.75" customHeight="1">
      <c r="B65" s="1"/>
      <c r="D65" s="1"/>
      <c r="E65" s="1"/>
      <c r="Q65" s="1"/>
    </row>
    <row r="66" ht="15.75" customHeight="1">
      <c r="B66" s="1"/>
      <c r="D66" s="1"/>
      <c r="E66" s="1"/>
      <c r="Q66" s="1"/>
    </row>
    <row r="67" ht="15.75" customHeight="1">
      <c r="B67" s="1"/>
      <c r="D67" s="1"/>
      <c r="E67" s="1"/>
      <c r="Q67" s="1"/>
    </row>
    <row r="68" ht="15.75" customHeight="1">
      <c r="B68" s="1"/>
      <c r="D68" s="1"/>
      <c r="E68" s="1"/>
      <c r="Q68" s="1"/>
    </row>
    <row r="69" ht="15.75" customHeight="1">
      <c r="B69" s="1"/>
      <c r="D69" s="1"/>
      <c r="E69" s="1"/>
      <c r="Q69" s="1"/>
    </row>
    <row r="70" ht="15.75" customHeight="1">
      <c r="B70" s="1"/>
      <c r="D70" s="1"/>
      <c r="E70" s="1"/>
      <c r="Q70" s="1"/>
    </row>
    <row r="71" ht="15.75" customHeight="1">
      <c r="B71" s="1"/>
      <c r="D71" s="1"/>
      <c r="E71" s="1"/>
      <c r="Q71" s="1"/>
    </row>
    <row r="72" ht="15.75" customHeight="1">
      <c r="B72" s="1"/>
      <c r="D72" s="1"/>
      <c r="E72" s="1"/>
      <c r="Q72" s="1"/>
    </row>
    <row r="73" ht="15.75" customHeight="1">
      <c r="B73" s="1"/>
      <c r="D73" s="1"/>
      <c r="E73" s="1"/>
      <c r="Q73" s="1"/>
    </row>
    <row r="74" ht="15.75" customHeight="1">
      <c r="B74" s="1"/>
      <c r="D74" s="1"/>
      <c r="E74" s="1"/>
      <c r="Q74" s="1"/>
    </row>
    <row r="75" ht="15.75" customHeight="1">
      <c r="B75" s="1"/>
      <c r="D75" s="1"/>
      <c r="E75" s="1"/>
      <c r="Q75" s="1"/>
    </row>
    <row r="76" ht="15.75" customHeight="1">
      <c r="B76" s="1"/>
      <c r="D76" s="1"/>
      <c r="E76" s="1"/>
      <c r="Q76" s="1"/>
    </row>
    <row r="77" ht="15.75" customHeight="1">
      <c r="B77" s="1"/>
      <c r="D77" s="1"/>
      <c r="E77" s="1"/>
      <c r="Q77" s="1"/>
    </row>
    <row r="78" ht="15.75" customHeight="1">
      <c r="B78" s="1"/>
      <c r="D78" s="1"/>
      <c r="E78" s="1"/>
      <c r="Q78" s="1"/>
    </row>
    <row r="79" ht="15.75" customHeight="1">
      <c r="B79" s="1"/>
      <c r="D79" s="1"/>
      <c r="E79" s="1"/>
      <c r="Q79" s="1"/>
    </row>
    <row r="80" ht="15.75" customHeight="1">
      <c r="B80" s="1"/>
      <c r="D80" s="1"/>
      <c r="E80" s="1"/>
      <c r="Q80" s="1"/>
    </row>
    <row r="81" ht="15.75" customHeight="1">
      <c r="B81" s="1"/>
      <c r="D81" s="1"/>
      <c r="E81" s="1"/>
      <c r="Q81" s="1"/>
    </row>
    <row r="82" ht="15.75" customHeight="1">
      <c r="B82" s="1"/>
      <c r="D82" s="1"/>
      <c r="E82" s="1"/>
      <c r="Q82" s="1"/>
    </row>
    <row r="83" ht="15.75" customHeight="1">
      <c r="B83" s="1"/>
      <c r="D83" s="1"/>
      <c r="E83" s="1"/>
      <c r="Q83" s="1"/>
    </row>
    <row r="84" ht="15.75" customHeight="1">
      <c r="B84" s="1"/>
      <c r="D84" s="1"/>
      <c r="E84" s="1"/>
      <c r="Q84" s="1"/>
    </row>
    <row r="85" ht="15.75" customHeight="1">
      <c r="B85" s="1"/>
      <c r="D85" s="1"/>
      <c r="E85" s="1"/>
      <c r="Q85" s="1"/>
    </row>
    <row r="86" ht="15.75" customHeight="1">
      <c r="B86" s="1"/>
      <c r="D86" s="1"/>
      <c r="E86" s="1"/>
      <c r="Q86" s="1"/>
    </row>
    <row r="87" ht="15.75" customHeight="1">
      <c r="B87" s="1"/>
      <c r="D87" s="1"/>
      <c r="E87" s="1"/>
      <c r="Q87" s="1"/>
    </row>
    <row r="88" ht="15.75" customHeight="1">
      <c r="B88" s="1"/>
      <c r="D88" s="1"/>
      <c r="E88" s="1"/>
      <c r="Q88" s="1"/>
    </row>
    <row r="89" ht="15.75" customHeight="1">
      <c r="B89" s="1"/>
      <c r="D89" s="1"/>
      <c r="E89" s="1"/>
      <c r="Q89" s="1"/>
    </row>
    <row r="90" ht="15.75" customHeight="1">
      <c r="B90" s="1"/>
      <c r="D90" s="1"/>
      <c r="E90" s="1"/>
      <c r="Q90" s="1"/>
    </row>
    <row r="91" ht="15.75" customHeight="1">
      <c r="B91" s="1"/>
      <c r="D91" s="1"/>
      <c r="E91" s="1"/>
      <c r="Q91" s="1"/>
    </row>
    <row r="92" ht="15.75" customHeight="1">
      <c r="B92" s="1"/>
      <c r="D92" s="1"/>
      <c r="E92" s="1"/>
      <c r="Q92" s="1"/>
    </row>
    <row r="93" ht="15.75" customHeight="1">
      <c r="B93" s="1"/>
      <c r="D93" s="1"/>
      <c r="E93" s="1"/>
      <c r="Q93" s="1"/>
    </row>
    <row r="94" ht="15.75" customHeight="1">
      <c r="B94" s="1"/>
      <c r="D94" s="1"/>
      <c r="E94" s="1"/>
      <c r="Q94" s="1"/>
    </row>
    <row r="95" ht="15.75" customHeight="1">
      <c r="B95" s="1"/>
      <c r="D95" s="1"/>
      <c r="E95" s="1"/>
      <c r="Q95" s="1"/>
    </row>
    <row r="96" ht="15.75" customHeight="1">
      <c r="B96" s="1"/>
      <c r="D96" s="1"/>
      <c r="E96" s="1"/>
      <c r="Q96" s="1"/>
    </row>
    <row r="97" ht="15.75" customHeight="1">
      <c r="B97" s="1"/>
      <c r="D97" s="1"/>
      <c r="E97" s="1"/>
      <c r="Q97" s="1"/>
    </row>
    <row r="98" ht="15.75" customHeight="1">
      <c r="B98" s="1"/>
      <c r="D98" s="1"/>
      <c r="E98" s="1"/>
      <c r="Q98" s="1"/>
    </row>
    <row r="99" ht="15.75" customHeight="1">
      <c r="B99" s="1"/>
      <c r="D99" s="1"/>
      <c r="E99" s="1"/>
      <c r="Q99" s="1"/>
    </row>
    <row r="100" ht="15.75" customHeight="1">
      <c r="B100" s="1"/>
      <c r="D100" s="1"/>
      <c r="E100" s="1"/>
      <c r="Q100" s="1"/>
    </row>
    <row r="101" ht="15.75" customHeight="1">
      <c r="B101" s="1"/>
      <c r="D101" s="1"/>
      <c r="E101" s="1"/>
      <c r="Q101" s="1"/>
    </row>
    <row r="102" ht="15.75" customHeight="1">
      <c r="B102" s="1"/>
      <c r="D102" s="1"/>
      <c r="E102" s="1"/>
      <c r="Q102" s="1"/>
    </row>
    <row r="103" ht="15.75" customHeight="1">
      <c r="B103" s="1"/>
      <c r="D103" s="1"/>
      <c r="E103" s="1"/>
      <c r="Q103" s="1"/>
    </row>
    <row r="104" ht="15.75" customHeight="1">
      <c r="B104" s="1"/>
      <c r="D104" s="1"/>
      <c r="E104" s="1"/>
      <c r="Q104" s="1"/>
    </row>
    <row r="105" ht="15.75" customHeight="1">
      <c r="B105" s="1"/>
      <c r="D105" s="1"/>
      <c r="E105" s="1"/>
      <c r="Q105" s="1"/>
    </row>
    <row r="106" ht="15.75" customHeight="1">
      <c r="B106" s="1"/>
      <c r="D106" s="1"/>
      <c r="E106" s="1"/>
      <c r="Q106" s="1"/>
    </row>
    <row r="107" ht="15.75" customHeight="1">
      <c r="B107" s="1"/>
      <c r="D107" s="1"/>
      <c r="E107" s="1"/>
      <c r="Q107" s="1"/>
    </row>
    <row r="108" ht="15.75" customHeight="1">
      <c r="B108" s="1"/>
      <c r="D108" s="1"/>
      <c r="E108" s="1"/>
      <c r="Q108" s="1"/>
    </row>
    <row r="109" ht="15.75" customHeight="1">
      <c r="B109" s="1"/>
      <c r="D109" s="1"/>
      <c r="E109" s="1"/>
      <c r="Q109" s="1"/>
    </row>
    <row r="110" ht="15.75" customHeight="1">
      <c r="B110" s="1"/>
      <c r="D110" s="1"/>
      <c r="E110" s="1"/>
      <c r="Q110" s="1"/>
    </row>
    <row r="111" ht="15.75" customHeight="1">
      <c r="B111" s="1"/>
      <c r="D111" s="1"/>
      <c r="E111" s="1"/>
      <c r="Q111" s="1"/>
    </row>
    <row r="112" ht="15.75" customHeight="1">
      <c r="B112" s="1"/>
      <c r="D112" s="1"/>
      <c r="E112" s="1"/>
      <c r="Q112" s="1"/>
    </row>
    <row r="113" ht="15.75" customHeight="1">
      <c r="B113" s="1"/>
      <c r="D113" s="1"/>
      <c r="E113" s="1"/>
      <c r="Q113" s="1"/>
    </row>
    <row r="114" ht="15.75" customHeight="1">
      <c r="B114" s="1"/>
      <c r="D114" s="1"/>
      <c r="E114" s="1"/>
      <c r="Q114" s="1"/>
    </row>
    <row r="115" ht="15.75" customHeight="1">
      <c r="B115" s="1"/>
      <c r="D115" s="1"/>
      <c r="E115" s="1"/>
      <c r="Q115" s="1"/>
    </row>
    <row r="116" ht="15.75" customHeight="1">
      <c r="B116" s="1"/>
      <c r="D116" s="1"/>
      <c r="E116" s="1"/>
      <c r="Q116" s="1"/>
    </row>
    <row r="117" ht="15.75" customHeight="1">
      <c r="B117" s="1"/>
      <c r="D117" s="1"/>
      <c r="E117" s="1"/>
      <c r="Q117" s="1"/>
    </row>
    <row r="118" ht="15.75" customHeight="1">
      <c r="B118" s="1"/>
      <c r="D118" s="1"/>
      <c r="E118" s="1"/>
      <c r="Q118" s="1"/>
    </row>
    <row r="119" ht="15.75" customHeight="1">
      <c r="B119" s="1"/>
      <c r="D119" s="1"/>
      <c r="E119" s="1"/>
      <c r="Q119" s="1"/>
    </row>
    <row r="120" ht="15.75" customHeight="1">
      <c r="B120" s="1"/>
      <c r="D120" s="1"/>
      <c r="E120" s="1"/>
      <c r="Q120" s="1"/>
    </row>
    <row r="121" ht="15.75" customHeight="1">
      <c r="B121" s="1"/>
      <c r="D121" s="1"/>
      <c r="E121" s="1"/>
      <c r="Q121" s="1"/>
    </row>
    <row r="122" ht="15.75" customHeight="1">
      <c r="B122" s="1"/>
      <c r="D122" s="1"/>
      <c r="E122" s="1"/>
      <c r="Q122" s="1"/>
    </row>
    <row r="123" ht="15.75" customHeight="1">
      <c r="B123" s="1"/>
      <c r="D123" s="1"/>
      <c r="E123" s="1"/>
      <c r="Q123" s="1"/>
    </row>
    <row r="124" ht="15.75" customHeight="1">
      <c r="B124" s="1"/>
      <c r="D124" s="1"/>
      <c r="E124" s="1"/>
      <c r="Q124" s="1"/>
    </row>
    <row r="125" ht="15.75" customHeight="1">
      <c r="B125" s="1"/>
      <c r="D125" s="1"/>
      <c r="E125" s="1"/>
      <c r="Q125" s="1"/>
    </row>
    <row r="126" ht="15.75" customHeight="1">
      <c r="B126" s="1"/>
      <c r="D126" s="1"/>
      <c r="E126" s="1"/>
      <c r="Q126" s="1"/>
    </row>
    <row r="127" ht="15.75" customHeight="1">
      <c r="B127" s="1"/>
      <c r="D127" s="1"/>
      <c r="E127" s="1"/>
      <c r="Q127" s="1"/>
    </row>
    <row r="128" ht="15.75" customHeight="1">
      <c r="B128" s="1"/>
      <c r="D128" s="1"/>
      <c r="E128" s="1"/>
      <c r="Q128" s="1"/>
    </row>
    <row r="129" ht="15.75" customHeight="1">
      <c r="B129" s="1"/>
      <c r="D129" s="1"/>
      <c r="E129" s="1"/>
      <c r="Q129" s="1"/>
    </row>
    <row r="130" ht="15.75" customHeight="1">
      <c r="B130" s="1"/>
      <c r="D130" s="1"/>
      <c r="E130" s="1"/>
      <c r="Q130" s="1"/>
    </row>
    <row r="131" ht="15.75" customHeight="1">
      <c r="B131" s="1"/>
      <c r="D131" s="1"/>
      <c r="E131" s="1"/>
      <c r="Q131" s="1"/>
    </row>
    <row r="132" ht="15.75" customHeight="1">
      <c r="B132" s="1"/>
      <c r="D132" s="1"/>
      <c r="E132" s="1"/>
      <c r="Q132" s="1"/>
    </row>
    <row r="133" ht="15.75" customHeight="1">
      <c r="B133" s="1"/>
      <c r="D133" s="1"/>
      <c r="E133" s="1"/>
      <c r="Q133" s="1"/>
    </row>
    <row r="134" ht="15.75" customHeight="1">
      <c r="B134" s="1"/>
      <c r="D134" s="1"/>
      <c r="E134" s="1"/>
      <c r="Q134" s="1"/>
    </row>
    <row r="135" ht="15.75" customHeight="1">
      <c r="B135" s="1"/>
      <c r="D135" s="1"/>
      <c r="E135" s="1"/>
      <c r="Q135" s="1"/>
    </row>
    <row r="136" ht="15.75" customHeight="1">
      <c r="B136" s="1"/>
      <c r="D136" s="1"/>
      <c r="E136" s="1"/>
      <c r="Q136" s="1"/>
    </row>
    <row r="137" ht="15.75" customHeight="1">
      <c r="B137" s="1"/>
      <c r="D137" s="1"/>
      <c r="E137" s="1"/>
      <c r="Q137" s="1"/>
    </row>
    <row r="138" ht="15.75" customHeight="1">
      <c r="B138" s="1"/>
      <c r="D138" s="1"/>
      <c r="E138" s="1"/>
      <c r="Q138" s="1"/>
    </row>
    <row r="139" ht="15.75" customHeight="1">
      <c r="B139" s="1"/>
      <c r="D139" s="1"/>
      <c r="E139" s="1"/>
      <c r="Q139" s="1"/>
    </row>
    <row r="140" ht="15.75" customHeight="1">
      <c r="B140" s="1"/>
      <c r="D140" s="1"/>
      <c r="E140" s="1"/>
      <c r="Q140" s="1"/>
    </row>
    <row r="141" ht="15.75" customHeight="1">
      <c r="B141" s="1"/>
      <c r="D141" s="1"/>
      <c r="E141" s="1"/>
      <c r="Q141" s="1"/>
    </row>
    <row r="142" ht="15.75" customHeight="1">
      <c r="B142" s="1"/>
      <c r="D142" s="1"/>
      <c r="E142" s="1"/>
      <c r="Q142" s="1"/>
    </row>
    <row r="143" ht="15.75" customHeight="1">
      <c r="B143" s="1"/>
      <c r="D143" s="1"/>
      <c r="E143" s="1"/>
      <c r="Q143" s="1"/>
    </row>
    <row r="144" ht="15.75" customHeight="1">
      <c r="B144" s="1"/>
      <c r="D144" s="1"/>
      <c r="E144" s="1"/>
      <c r="Q144" s="1"/>
    </row>
    <row r="145" ht="15.75" customHeight="1">
      <c r="B145" s="1"/>
      <c r="D145" s="1"/>
      <c r="E145" s="1"/>
      <c r="Q145" s="1"/>
    </row>
    <row r="146" ht="15.75" customHeight="1">
      <c r="B146" s="1"/>
      <c r="D146" s="1"/>
      <c r="E146" s="1"/>
      <c r="Q146" s="1"/>
    </row>
    <row r="147" ht="15.75" customHeight="1">
      <c r="B147" s="1"/>
      <c r="D147" s="1"/>
      <c r="E147" s="1"/>
      <c r="Q147" s="1"/>
    </row>
    <row r="148" ht="15.75" customHeight="1">
      <c r="B148" s="1"/>
      <c r="D148" s="1"/>
      <c r="E148" s="1"/>
      <c r="Q148" s="1"/>
    </row>
    <row r="149" ht="15.75" customHeight="1">
      <c r="B149" s="1"/>
      <c r="D149" s="1"/>
      <c r="E149" s="1"/>
      <c r="Q149" s="1"/>
    </row>
    <row r="150" ht="15.75" customHeight="1">
      <c r="B150" s="1"/>
      <c r="D150" s="1"/>
      <c r="E150" s="1"/>
      <c r="Q150" s="1"/>
    </row>
    <row r="151" ht="15.75" customHeight="1">
      <c r="B151" s="1"/>
      <c r="D151" s="1"/>
      <c r="E151" s="1"/>
      <c r="Q151" s="1"/>
    </row>
    <row r="152" ht="15.75" customHeight="1">
      <c r="B152" s="1"/>
      <c r="D152" s="1"/>
      <c r="E152" s="1"/>
      <c r="Q152" s="1"/>
    </row>
    <row r="153" ht="15.75" customHeight="1">
      <c r="B153" s="1"/>
      <c r="D153" s="1"/>
      <c r="E153" s="1"/>
      <c r="Q153" s="1"/>
    </row>
    <row r="154" ht="15.75" customHeight="1">
      <c r="B154" s="1"/>
      <c r="D154" s="1"/>
      <c r="E154" s="1"/>
      <c r="Q154" s="1"/>
    </row>
    <row r="155" ht="15.75" customHeight="1">
      <c r="B155" s="1"/>
      <c r="D155" s="1"/>
      <c r="E155" s="1"/>
      <c r="Q155" s="1"/>
    </row>
    <row r="156" ht="15.75" customHeight="1">
      <c r="B156" s="1"/>
      <c r="D156" s="1"/>
      <c r="E156" s="1"/>
      <c r="Q156" s="1"/>
    </row>
    <row r="157" ht="15.75" customHeight="1">
      <c r="B157" s="1"/>
      <c r="D157" s="1"/>
      <c r="E157" s="1"/>
      <c r="Q157" s="1"/>
    </row>
    <row r="158" ht="15.75" customHeight="1">
      <c r="B158" s="1"/>
      <c r="D158" s="1"/>
      <c r="E158" s="1"/>
      <c r="Q158" s="1"/>
    </row>
    <row r="159" ht="15.75" customHeight="1">
      <c r="B159" s="1"/>
      <c r="D159" s="1"/>
      <c r="E159" s="1"/>
      <c r="Q159" s="1"/>
    </row>
    <row r="160" ht="15.75" customHeight="1">
      <c r="B160" s="1"/>
      <c r="D160" s="1"/>
      <c r="E160" s="1"/>
      <c r="Q160" s="1"/>
    </row>
    <row r="161" ht="15.75" customHeight="1">
      <c r="B161" s="1"/>
      <c r="D161" s="1"/>
      <c r="E161" s="1"/>
      <c r="Q161" s="1"/>
    </row>
    <row r="162" ht="15.75" customHeight="1">
      <c r="B162" s="1"/>
      <c r="D162" s="1"/>
      <c r="E162" s="1"/>
      <c r="Q162" s="1"/>
    </row>
    <row r="163" ht="15.75" customHeight="1">
      <c r="B163" s="1"/>
      <c r="D163" s="1"/>
      <c r="E163" s="1"/>
      <c r="Q163" s="1"/>
    </row>
    <row r="164" ht="15.75" customHeight="1">
      <c r="B164" s="1"/>
      <c r="D164" s="1"/>
      <c r="E164" s="1"/>
      <c r="Q164" s="1"/>
    </row>
    <row r="165" ht="15.75" customHeight="1">
      <c r="B165" s="1"/>
      <c r="D165" s="1"/>
      <c r="E165" s="1"/>
      <c r="Q165" s="1"/>
    </row>
    <row r="166" ht="15.75" customHeight="1">
      <c r="B166" s="1"/>
      <c r="D166" s="1"/>
      <c r="E166" s="1"/>
      <c r="Q166" s="1"/>
    </row>
    <row r="167" ht="15.75" customHeight="1">
      <c r="B167" s="1"/>
      <c r="D167" s="1"/>
      <c r="E167" s="1"/>
      <c r="Q167" s="1"/>
    </row>
    <row r="168" ht="15.75" customHeight="1">
      <c r="B168" s="1"/>
      <c r="D168" s="1"/>
      <c r="E168" s="1"/>
      <c r="Q168" s="1"/>
    </row>
    <row r="169" ht="15.75" customHeight="1">
      <c r="B169" s="1"/>
      <c r="D169" s="1"/>
      <c r="E169" s="1"/>
      <c r="Q169" s="1"/>
    </row>
    <row r="170" ht="15.75" customHeight="1">
      <c r="B170" s="1"/>
      <c r="D170" s="1"/>
      <c r="E170" s="1"/>
      <c r="Q170" s="1"/>
    </row>
    <row r="171" ht="15.75" customHeight="1">
      <c r="B171" s="1"/>
      <c r="D171" s="1"/>
      <c r="E171" s="1"/>
      <c r="Q171" s="1"/>
    </row>
    <row r="172" ht="15.75" customHeight="1">
      <c r="B172" s="1"/>
      <c r="D172" s="1"/>
      <c r="E172" s="1"/>
      <c r="Q172" s="1"/>
    </row>
    <row r="173" ht="15.75" customHeight="1">
      <c r="B173" s="1"/>
      <c r="D173" s="1"/>
      <c r="E173" s="1"/>
      <c r="Q173" s="1"/>
    </row>
    <row r="174" ht="15.75" customHeight="1">
      <c r="B174" s="1"/>
      <c r="D174" s="1"/>
      <c r="E174" s="1"/>
      <c r="Q174" s="1"/>
    </row>
    <row r="175" ht="15.75" customHeight="1">
      <c r="B175" s="1"/>
      <c r="D175" s="1"/>
      <c r="E175" s="1"/>
      <c r="Q175" s="1"/>
    </row>
    <row r="176" ht="15.75" customHeight="1">
      <c r="B176" s="1"/>
      <c r="D176" s="1"/>
      <c r="E176" s="1"/>
      <c r="Q176" s="1"/>
    </row>
    <row r="177" ht="15.75" customHeight="1">
      <c r="B177" s="1"/>
      <c r="D177" s="1"/>
      <c r="E177" s="1"/>
      <c r="Q177" s="1"/>
    </row>
    <row r="178" ht="15.75" customHeight="1">
      <c r="B178" s="1"/>
      <c r="D178" s="1"/>
      <c r="E178" s="1"/>
      <c r="Q178" s="1"/>
    </row>
    <row r="179" ht="15.75" customHeight="1">
      <c r="B179" s="1"/>
      <c r="D179" s="1"/>
      <c r="E179" s="1"/>
      <c r="Q179" s="1"/>
    </row>
    <row r="180" ht="15.75" customHeight="1">
      <c r="B180" s="1"/>
      <c r="D180" s="1"/>
      <c r="E180" s="1"/>
      <c r="Q180" s="1"/>
    </row>
    <row r="181" ht="15.75" customHeight="1">
      <c r="B181" s="1"/>
      <c r="D181" s="1"/>
      <c r="E181" s="1"/>
      <c r="Q181" s="1"/>
    </row>
    <row r="182" ht="15.75" customHeight="1">
      <c r="B182" s="1"/>
      <c r="D182" s="1"/>
      <c r="E182" s="1"/>
      <c r="Q182" s="1"/>
    </row>
    <row r="183" ht="15.75" customHeight="1">
      <c r="B183" s="1"/>
      <c r="D183" s="1"/>
      <c r="E183" s="1"/>
      <c r="Q183" s="1"/>
    </row>
    <row r="184" ht="15.75" customHeight="1">
      <c r="B184" s="1"/>
      <c r="D184" s="1"/>
      <c r="E184" s="1"/>
      <c r="Q184" s="1"/>
    </row>
    <row r="185" ht="15.75" customHeight="1">
      <c r="B185" s="1"/>
      <c r="D185" s="1"/>
      <c r="E185" s="1"/>
      <c r="Q185" s="1"/>
    </row>
    <row r="186" ht="15.75" customHeight="1">
      <c r="B186" s="1"/>
      <c r="D186" s="1"/>
      <c r="E186" s="1"/>
      <c r="Q186" s="1"/>
    </row>
    <row r="187" ht="15.75" customHeight="1">
      <c r="B187" s="1"/>
      <c r="D187" s="1"/>
      <c r="E187" s="1"/>
      <c r="Q187" s="1"/>
    </row>
    <row r="188" ht="15.75" customHeight="1">
      <c r="B188" s="1"/>
      <c r="D188" s="1"/>
      <c r="E188" s="1"/>
      <c r="Q188" s="1"/>
    </row>
    <row r="189" ht="15.75" customHeight="1">
      <c r="B189" s="1"/>
      <c r="D189" s="1"/>
      <c r="E189" s="1"/>
      <c r="Q189" s="1"/>
    </row>
    <row r="190" ht="15.75" customHeight="1">
      <c r="B190" s="1"/>
      <c r="D190" s="1"/>
      <c r="E190" s="1"/>
      <c r="Q190" s="1"/>
    </row>
    <row r="191" ht="15.75" customHeight="1">
      <c r="B191" s="1"/>
      <c r="D191" s="1"/>
      <c r="E191" s="1"/>
      <c r="Q191" s="1"/>
    </row>
    <row r="192" ht="15.75" customHeight="1">
      <c r="B192" s="1"/>
      <c r="D192" s="1"/>
      <c r="E192" s="1"/>
      <c r="Q192" s="1"/>
    </row>
    <row r="193" ht="15.75" customHeight="1">
      <c r="B193" s="1"/>
      <c r="D193" s="1"/>
      <c r="E193" s="1"/>
      <c r="Q193" s="1"/>
    </row>
    <row r="194" ht="15.75" customHeight="1">
      <c r="B194" s="1"/>
      <c r="D194" s="1"/>
      <c r="E194" s="1"/>
      <c r="Q194" s="1"/>
    </row>
    <row r="195" ht="15.75" customHeight="1">
      <c r="B195" s="1"/>
      <c r="D195" s="1"/>
      <c r="E195" s="1"/>
      <c r="Q195" s="1"/>
    </row>
    <row r="196" ht="15.75" customHeight="1">
      <c r="B196" s="1"/>
      <c r="D196" s="1"/>
      <c r="E196" s="1"/>
      <c r="Q196" s="1"/>
    </row>
    <row r="197" ht="15.75" customHeight="1">
      <c r="B197" s="1"/>
      <c r="D197" s="1"/>
      <c r="E197" s="1"/>
      <c r="Q197" s="1"/>
    </row>
    <row r="198" ht="15.75" customHeight="1">
      <c r="B198" s="1"/>
      <c r="D198" s="1"/>
      <c r="E198" s="1"/>
      <c r="Q198" s="1"/>
    </row>
    <row r="199" ht="15.75" customHeight="1">
      <c r="B199" s="1"/>
      <c r="D199" s="1"/>
      <c r="E199" s="1"/>
      <c r="Q199" s="1"/>
    </row>
    <row r="200" ht="15.75" customHeight="1">
      <c r="B200" s="1"/>
      <c r="D200" s="1"/>
      <c r="E200" s="1"/>
      <c r="Q200" s="1"/>
    </row>
    <row r="201" ht="15.75" customHeight="1">
      <c r="B201" s="1"/>
      <c r="D201" s="1"/>
      <c r="E201" s="1"/>
      <c r="Q201" s="1"/>
    </row>
    <row r="202" ht="15.75" customHeight="1">
      <c r="B202" s="1"/>
      <c r="D202" s="1"/>
      <c r="E202" s="1"/>
      <c r="Q202" s="1"/>
    </row>
    <row r="203" ht="15.75" customHeight="1">
      <c r="B203" s="1"/>
      <c r="D203" s="1"/>
      <c r="E203" s="1"/>
      <c r="Q203" s="1"/>
    </row>
    <row r="204" ht="15.75" customHeight="1">
      <c r="B204" s="1"/>
      <c r="D204" s="1"/>
      <c r="E204" s="1"/>
      <c r="Q204" s="1"/>
    </row>
    <row r="205" ht="15.75" customHeight="1">
      <c r="B205" s="1"/>
      <c r="D205" s="1"/>
      <c r="E205" s="1"/>
      <c r="Q205" s="1"/>
    </row>
    <row r="206" ht="15.75" customHeight="1">
      <c r="B206" s="1"/>
      <c r="D206" s="1"/>
      <c r="E206" s="1"/>
      <c r="Q206" s="1"/>
    </row>
    <row r="207" ht="15.75" customHeight="1">
      <c r="B207" s="1"/>
      <c r="D207" s="1"/>
      <c r="E207" s="1"/>
      <c r="Q207" s="1"/>
    </row>
    <row r="208" ht="15.75" customHeight="1">
      <c r="B208" s="1"/>
      <c r="D208" s="1"/>
      <c r="E208" s="1"/>
      <c r="Q208" s="1"/>
    </row>
    <row r="209" ht="15.75" customHeight="1">
      <c r="B209" s="1"/>
      <c r="D209" s="1"/>
      <c r="E209" s="1"/>
      <c r="Q209" s="1"/>
    </row>
    <row r="210" ht="15.75" customHeight="1">
      <c r="B210" s="1"/>
      <c r="D210" s="1"/>
      <c r="E210" s="1"/>
      <c r="Q210" s="1"/>
    </row>
    <row r="211" ht="15.75" customHeight="1">
      <c r="B211" s="1"/>
      <c r="D211" s="1"/>
      <c r="E211" s="1"/>
      <c r="Q211" s="1"/>
    </row>
    <row r="212" ht="15.75" customHeight="1">
      <c r="B212" s="1"/>
      <c r="D212" s="1"/>
      <c r="E212" s="1"/>
      <c r="Q212" s="1"/>
    </row>
    <row r="213" ht="15.75" customHeight="1">
      <c r="B213" s="1"/>
      <c r="D213" s="1"/>
      <c r="E213" s="1"/>
      <c r="Q213" s="1"/>
    </row>
    <row r="214" ht="15.75" customHeight="1">
      <c r="B214" s="1"/>
      <c r="D214" s="1"/>
      <c r="E214" s="1"/>
      <c r="Q214" s="1"/>
    </row>
    <row r="215" ht="15.75" customHeight="1">
      <c r="B215" s="1"/>
      <c r="D215" s="1"/>
      <c r="E215" s="1"/>
      <c r="Q215" s="1"/>
    </row>
    <row r="216" ht="15.75" customHeight="1">
      <c r="B216" s="1"/>
      <c r="D216" s="1"/>
      <c r="E216" s="1"/>
      <c r="Q216" s="1"/>
    </row>
    <row r="217" ht="15.75" customHeight="1">
      <c r="B217" s="1"/>
      <c r="D217" s="1"/>
      <c r="E217" s="1"/>
      <c r="Q217" s="1"/>
    </row>
    <row r="218" ht="15.75" customHeight="1">
      <c r="B218" s="1"/>
      <c r="D218" s="1"/>
      <c r="E218" s="1"/>
      <c r="Q218" s="1"/>
    </row>
    <row r="219" ht="15.75" customHeight="1">
      <c r="B219" s="1"/>
      <c r="D219" s="1"/>
      <c r="E219" s="1"/>
      <c r="Q219" s="1"/>
    </row>
    <row r="220" ht="15.75" customHeight="1">
      <c r="B220" s="1"/>
      <c r="D220" s="1"/>
      <c r="E220" s="1"/>
      <c r="Q220" s="1"/>
    </row>
    <row r="221" ht="15.75" customHeight="1">
      <c r="B221" s="1"/>
      <c r="D221" s="1"/>
      <c r="E221" s="1"/>
      <c r="Q221" s="1"/>
    </row>
    <row r="222" ht="15.75" customHeight="1">
      <c r="B222" s="1"/>
      <c r="D222" s="1"/>
      <c r="E222" s="1"/>
      <c r="Q222" s="1"/>
    </row>
    <row r="223" ht="15.75" customHeight="1">
      <c r="B223" s="1"/>
      <c r="D223" s="1"/>
      <c r="E223" s="1"/>
      <c r="Q223" s="1"/>
    </row>
    <row r="224" ht="15.75" customHeight="1">
      <c r="B224" s="1"/>
      <c r="D224" s="1"/>
      <c r="E224" s="1"/>
      <c r="Q224" s="1"/>
    </row>
    <row r="225" ht="15.75" customHeight="1">
      <c r="B225" s="1"/>
      <c r="D225" s="1"/>
      <c r="E225" s="1"/>
      <c r="Q225" s="1"/>
    </row>
    <row r="226" ht="15.75" customHeight="1">
      <c r="B226" s="1"/>
      <c r="D226" s="1"/>
      <c r="E226" s="1"/>
      <c r="Q226" s="1"/>
    </row>
    <row r="227" ht="15.75" customHeight="1">
      <c r="B227" s="1"/>
      <c r="D227" s="1"/>
      <c r="E227" s="1"/>
      <c r="Q227" s="1"/>
    </row>
    <row r="228" ht="15.75" customHeight="1">
      <c r="B228" s="1"/>
      <c r="D228" s="1"/>
      <c r="E228" s="1"/>
      <c r="Q228" s="1"/>
    </row>
    <row r="229" ht="15.75" customHeight="1">
      <c r="B229" s="1"/>
      <c r="D229" s="1"/>
      <c r="E229" s="1"/>
      <c r="Q229" s="1"/>
    </row>
    <row r="230" ht="15.75" customHeight="1">
      <c r="B230" s="1"/>
      <c r="D230" s="1"/>
      <c r="E230" s="1"/>
      <c r="Q230" s="1"/>
    </row>
    <row r="231" ht="15.75" customHeight="1">
      <c r="B231" s="1"/>
      <c r="D231" s="1"/>
      <c r="E231" s="1"/>
      <c r="Q231" s="1"/>
    </row>
    <row r="232" ht="15.75" customHeight="1">
      <c r="B232" s="1"/>
      <c r="D232" s="1"/>
      <c r="E232" s="1"/>
      <c r="Q232" s="1"/>
    </row>
    <row r="233" ht="15.75" customHeight="1">
      <c r="B233" s="1"/>
      <c r="D233" s="1"/>
      <c r="E233" s="1"/>
      <c r="Q233" s="1"/>
    </row>
    <row r="234" ht="15.75" customHeight="1">
      <c r="B234" s="1"/>
      <c r="D234" s="1"/>
      <c r="E234" s="1"/>
      <c r="Q234" s="1"/>
    </row>
    <row r="235" ht="15.75" customHeight="1">
      <c r="B235" s="1"/>
      <c r="D235" s="1"/>
      <c r="E235" s="1"/>
      <c r="Q235" s="1"/>
    </row>
    <row r="236" ht="15.75" customHeight="1">
      <c r="B236" s="1"/>
      <c r="D236" s="1"/>
      <c r="E236" s="1"/>
      <c r="Q236" s="1"/>
    </row>
    <row r="237" ht="15.75" customHeight="1">
      <c r="B237" s="1"/>
      <c r="D237" s="1"/>
      <c r="E237" s="1"/>
      <c r="Q237" s="1"/>
    </row>
    <row r="238" ht="15.75" customHeight="1">
      <c r="B238" s="1"/>
      <c r="D238" s="1"/>
      <c r="E238" s="1"/>
      <c r="Q238" s="1"/>
    </row>
    <row r="239" ht="15.75" customHeight="1">
      <c r="B239" s="1"/>
      <c r="D239" s="1"/>
      <c r="E239" s="1"/>
      <c r="Q239" s="1"/>
    </row>
    <row r="240" ht="15.75" customHeight="1">
      <c r="B240" s="1"/>
      <c r="D240" s="1"/>
      <c r="E240" s="1"/>
      <c r="Q240" s="1"/>
    </row>
    <row r="241" ht="15.75" customHeight="1">
      <c r="B241" s="1"/>
      <c r="D241" s="1"/>
      <c r="E241" s="1"/>
      <c r="Q241" s="1"/>
    </row>
    <row r="242" ht="15.75" customHeight="1">
      <c r="B242" s="1"/>
      <c r="D242" s="1"/>
      <c r="E242" s="1"/>
      <c r="Q242" s="1"/>
    </row>
    <row r="243" ht="15.75" customHeight="1">
      <c r="B243" s="1"/>
      <c r="D243" s="1"/>
      <c r="E243" s="1"/>
      <c r="Q243" s="1"/>
    </row>
    <row r="244" ht="15.75" customHeight="1">
      <c r="B244" s="1"/>
      <c r="D244" s="1"/>
      <c r="E244" s="1"/>
      <c r="Q244" s="1"/>
    </row>
    <row r="245" ht="15.75" customHeight="1">
      <c r="B245" s="1"/>
      <c r="D245" s="1"/>
      <c r="E245" s="1"/>
      <c r="Q245" s="1"/>
    </row>
    <row r="246" ht="15.75" customHeight="1">
      <c r="B246" s="1"/>
      <c r="D246" s="1"/>
      <c r="E246" s="1"/>
      <c r="Q246" s="1"/>
    </row>
    <row r="247" ht="15.75" customHeight="1">
      <c r="B247" s="1"/>
      <c r="D247" s="1"/>
      <c r="E247" s="1"/>
      <c r="Q247" s="1"/>
    </row>
    <row r="248" ht="15.75" customHeight="1">
      <c r="B248" s="1"/>
      <c r="D248" s="1"/>
      <c r="E248" s="1"/>
      <c r="Q248" s="1"/>
    </row>
    <row r="249" ht="15.75" customHeight="1">
      <c r="B249" s="1"/>
      <c r="D249" s="1"/>
      <c r="E249" s="1"/>
      <c r="Q249" s="1"/>
    </row>
    <row r="250" ht="15.75" customHeight="1">
      <c r="B250" s="1"/>
      <c r="D250" s="1"/>
      <c r="E250" s="1"/>
      <c r="Q250" s="1"/>
    </row>
    <row r="251" ht="15.75" customHeight="1">
      <c r="B251" s="1"/>
      <c r="D251" s="1"/>
      <c r="E251" s="1"/>
      <c r="Q251" s="1"/>
    </row>
    <row r="252" ht="15.75" customHeight="1">
      <c r="B252" s="1"/>
      <c r="D252" s="1"/>
      <c r="E252" s="1"/>
      <c r="Q252" s="1"/>
    </row>
    <row r="253" ht="15.75" customHeight="1">
      <c r="B253" s="1"/>
      <c r="D253" s="1"/>
      <c r="E253" s="1"/>
      <c r="Q253" s="1"/>
    </row>
    <row r="254" ht="15.75" customHeight="1">
      <c r="B254" s="1"/>
      <c r="D254" s="1"/>
      <c r="E254" s="1"/>
      <c r="Q254" s="1"/>
    </row>
    <row r="255" ht="15.75" customHeight="1">
      <c r="B255" s="1"/>
      <c r="D255" s="1"/>
      <c r="E255" s="1"/>
      <c r="Q255" s="1"/>
    </row>
    <row r="256" ht="15.75" customHeight="1">
      <c r="B256" s="1"/>
      <c r="D256" s="1"/>
      <c r="E256" s="1"/>
      <c r="Q256" s="1"/>
    </row>
    <row r="257" ht="15.75" customHeight="1">
      <c r="B257" s="1"/>
      <c r="D257" s="1"/>
      <c r="E257" s="1"/>
      <c r="Q257" s="1"/>
    </row>
    <row r="258" ht="15.75" customHeight="1">
      <c r="B258" s="1"/>
      <c r="D258" s="1"/>
      <c r="E258" s="1"/>
      <c r="Q258" s="1"/>
    </row>
    <row r="259" ht="15.75" customHeight="1">
      <c r="B259" s="1"/>
      <c r="D259" s="1"/>
      <c r="E259" s="1"/>
      <c r="Q259" s="1"/>
    </row>
    <row r="260" ht="15.75" customHeight="1">
      <c r="B260" s="1"/>
      <c r="D260" s="1"/>
      <c r="E260" s="1"/>
      <c r="Q260" s="1"/>
    </row>
    <row r="261" ht="15.75" customHeight="1">
      <c r="B261" s="1"/>
      <c r="D261" s="1"/>
      <c r="E261" s="1"/>
      <c r="Q261" s="1"/>
    </row>
    <row r="262" ht="15.75" customHeight="1">
      <c r="B262" s="1"/>
      <c r="D262" s="1"/>
      <c r="E262" s="1"/>
      <c r="Q262" s="1"/>
    </row>
    <row r="263" ht="15.75" customHeight="1">
      <c r="B263" s="1"/>
      <c r="D263" s="1"/>
      <c r="E263" s="1"/>
      <c r="Q263" s="1"/>
    </row>
    <row r="264" ht="15.75" customHeight="1">
      <c r="B264" s="1"/>
      <c r="D264" s="1"/>
      <c r="E264" s="1"/>
      <c r="Q264" s="1"/>
    </row>
    <row r="265" ht="15.75" customHeight="1">
      <c r="B265" s="1"/>
      <c r="D265" s="1"/>
      <c r="E265" s="1"/>
      <c r="Q265" s="1"/>
    </row>
    <row r="266" ht="15.75" customHeight="1">
      <c r="B266" s="1"/>
      <c r="D266" s="1"/>
      <c r="E266" s="1"/>
      <c r="Q266" s="1"/>
    </row>
    <row r="267" ht="15.75" customHeight="1">
      <c r="B267" s="1"/>
      <c r="D267" s="1"/>
      <c r="E267" s="1"/>
      <c r="Q267" s="1"/>
    </row>
    <row r="268" ht="15.75" customHeight="1">
      <c r="B268" s="1"/>
      <c r="D268" s="1"/>
      <c r="E268" s="1"/>
      <c r="Q268" s="1"/>
    </row>
    <row r="269" ht="15.75" customHeight="1">
      <c r="B269" s="1"/>
      <c r="D269" s="1"/>
      <c r="E269" s="1"/>
      <c r="Q269" s="1"/>
    </row>
    <row r="270" ht="15.75" customHeight="1">
      <c r="B270" s="1"/>
      <c r="D270" s="1"/>
      <c r="E270" s="1"/>
      <c r="Q270" s="1"/>
    </row>
    <row r="271" ht="15.75" customHeight="1">
      <c r="B271" s="1"/>
      <c r="D271" s="1"/>
      <c r="E271" s="1"/>
      <c r="Q271" s="1"/>
    </row>
    <row r="272" ht="15.75" customHeight="1">
      <c r="B272" s="1"/>
      <c r="D272" s="1"/>
      <c r="E272" s="1"/>
      <c r="Q272" s="1"/>
    </row>
    <row r="273" ht="15.75" customHeight="1">
      <c r="B273" s="1"/>
      <c r="D273" s="1"/>
      <c r="E273" s="1"/>
      <c r="Q273" s="1"/>
    </row>
    <row r="274" ht="15.75" customHeight="1">
      <c r="B274" s="1"/>
      <c r="D274" s="1"/>
      <c r="E274" s="1"/>
      <c r="Q274" s="1"/>
    </row>
    <row r="275" ht="15.75" customHeight="1">
      <c r="B275" s="1"/>
      <c r="D275" s="1"/>
      <c r="E275" s="1"/>
      <c r="Q275" s="1"/>
    </row>
    <row r="276" ht="15.75" customHeight="1">
      <c r="B276" s="1"/>
      <c r="D276" s="1"/>
      <c r="E276" s="1"/>
      <c r="Q276" s="1"/>
    </row>
    <row r="277" ht="15.75" customHeight="1">
      <c r="B277" s="1"/>
      <c r="D277" s="1"/>
      <c r="E277" s="1"/>
      <c r="Q277" s="1"/>
    </row>
    <row r="278" ht="15.75" customHeight="1">
      <c r="B278" s="1"/>
      <c r="D278" s="1"/>
      <c r="E278" s="1"/>
      <c r="Q278" s="1"/>
    </row>
    <row r="279" ht="15.75" customHeight="1">
      <c r="B279" s="1"/>
      <c r="D279" s="1"/>
      <c r="E279" s="1"/>
      <c r="Q279" s="1"/>
    </row>
    <row r="280" ht="15.75" customHeight="1">
      <c r="B280" s="1"/>
      <c r="D280" s="1"/>
      <c r="E280" s="1"/>
      <c r="Q280" s="1"/>
    </row>
    <row r="281" ht="15.75" customHeight="1">
      <c r="B281" s="1"/>
      <c r="D281" s="1"/>
      <c r="E281" s="1"/>
      <c r="Q281" s="1"/>
    </row>
    <row r="282" ht="15.75" customHeight="1">
      <c r="B282" s="1"/>
      <c r="D282" s="1"/>
      <c r="E282" s="1"/>
      <c r="Q282" s="1"/>
    </row>
    <row r="283" ht="15.75" customHeight="1">
      <c r="B283" s="1"/>
      <c r="D283" s="1"/>
      <c r="E283" s="1"/>
      <c r="Q283" s="1"/>
    </row>
    <row r="284" ht="15.75" customHeight="1">
      <c r="B284" s="1"/>
      <c r="D284" s="1"/>
      <c r="E284" s="1"/>
      <c r="Q284" s="1"/>
    </row>
    <row r="285" ht="15.75" customHeight="1">
      <c r="B285" s="1"/>
      <c r="D285" s="1"/>
      <c r="E285" s="1"/>
      <c r="Q285" s="1"/>
    </row>
    <row r="286" ht="15.75" customHeight="1">
      <c r="B286" s="1"/>
      <c r="D286" s="1"/>
      <c r="E286" s="1"/>
      <c r="Q286" s="1"/>
    </row>
    <row r="287" ht="15.75" customHeight="1">
      <c r="B287" s="1"/>
      <c r="D287" s="1"/>
      <c r="E287" s="1"/>
      <c r="Q287" s="1"/>
    </row>
    <row r="288" ht="15.75" customHeight="1">
      <c r="B288" s="1"/>
      <c r="D288" s="1"/>
      <c r="E288" s="1"/>
      <c r="Q288" s="1"/>
    </row>
    <row r="289" ht="15.75" customHeight="1">
      <c r="B289" s="1"/>
      <c r="D289" s="1"/>
      <c r="E289" s="1"/>
      <c r="Q289" s="1"/>
    </row>
    <row r="290" ht="15.75" customHeight="1">
      <c r="B290" s="1"/>
      <c r="D290" s="1"/>
      <c r="E290" s="1"/>
      <c r="Q290" s="1"/>
    </row>
    <row r="291" ht="15.75" customHeight="1">
      <c r="B291" s="1"/>
      <c r="D291" s="1"/>
      <c r="E291" s="1"/>
      <c r="Q291" s="1"/>
    </row>
    <row r="292" ht="15.75" customHeight="1">
      <c r="B292" s="1"/>
      <c r="D292" s="1"/>
      <c r="E292" s="1"/>
      <c r="Q292" s="1"/>
    </row>
    <row r="293" ht="15.75" customHeight="1">
      <c r="B293" s="1"/>
      <c r="D293" s="1"/>
      <c r="E293" s="1"/>
      <c r="Q293" s="1"/>
    </row>
    <row r="294" ht="15.75" customHeight="1">
      <c r="B294" s="1"/>
      <c r="D294" s="1"/>
      <c r="E294" s="1"/>
      <c r="Q294" s="1"/>
    </row>
    <row r="295" ht="15.75" customHeight="1">
      <c r="B295" s="1"/>
      <c r="D295" s="1"/>
      <c r="E295" s="1"/>
      <c r="Q295" s="1"/>
    </row>
    <row r="296" ht="15.75" customHeight="1">
      <c r="B296" s="1"/>
      <c r="D296" s="1"/>
      <c r="E296" s="1"/>
      <c r="Q296" s="1"/>
    </row>
    <row r="297" ht="15.75" customHeight="1">
      <c r="B297" s="1"/>
      <c r="D297" s="1"/>
      <c r="E297" s="1"/>
      <c r="Q297" s="1"/>
    </row>
    <row r="298" ht="15.75" customHeight="1">
      <c r="B298" s="1"/>
      <c r="D298" s="1"/>
      <c r="E298" s="1"/>
      <c r="Q298" s="1"/>
    </row>
    <row r="299" ht="15.75" customHeight="1">
      <c r="B299" s="1"/>
      <c r="D299" s="1"/>
      <c r="E299" s="1"/>
      <c r="Q299" s="1"/>
    </row>
    <row r="300" ht="15.75" customHeight="1">
      <c r="B300" s="1"/>
      <c r="D300" s="1"/>
      <c r="E300" s="1"/>
      <c r="Q300" s="1"/>
    </row>
    <row r="301" ht="15.75" customHeight="1">
      <c r="B301" s="1"/>
      <c r="D301" s="1"/>
      <c r="E301" s="1"/>
      <c r="Q301" s="1"/>
    </row>
    <row r="302" ht="15.75" customHeight="1">
      <c r="B302" s="1"/>
      <c r="D302" s="1"/>
      <c r="E302" s="1"/>
      <c r="Q302" s="1"/>
    </row>
    <row r="303" ht="15.75" customHeight="1">
      <c r="B303" s="1"/>
      <c r="D303" s="1"/>
      <c r="E303" s="1"/>
      <c r="Q303" s="1"/>
    </row>
    <row r="304" ht="15.75" customHeight="1">
      <c r="B304" s="1"/>
      <c r="D304" s="1"/>
      <c r="E304" s="1"/>
      <c r="Q304" s="1"/>
    </row>
    <row r="305" ht="15.75" customHeight="1">
      <c r="B305" s="1"/>
      <c r="D305" s="1"/>
      <c r="E305" s="1"/>
      <c r="Q305" s="1"/>
    </row>
    <row r="306" ht="15.75" customHeight="1">
      <c r="B306" s="1"/>
      <c r="D306" s="1"/>
      <c r="E306" s="1"/>
      <c r="Q306" s="1"/>
    </row>
    <row r="307" ht="15.75" customHeight="1">
      <c r="B307" s="1"/>
      <c r="D307" s="1"/>
      <c r="E307" s="1"/>
      <c r="Q307" s="1"/>
    </row>
    <row r="308" ht="15.75" customHeight="1">
      <c r="B308" s="1"/>
      <c r="D308" s="1"/>
      <c r="E308" s="1"/>
      <c r="Q308" s="1"/>
    </row>
    <row r="309" ht="15.75" customHeight="1">
      <c r="B309" s="1"/>
      <c r="D309" s="1"/>
      <c r="E309" s="1"/>
      <c r="Q309" s="1"/>
    </row>
    <row r="310" ht="15.75" customHeight="1">
      <c r="B310" s="1"/>
      <c r="D310" s="1"/>
      <c r="E310" s="1"/>
      <c r="Q310" s="1"/>
    </row>
    <row r="311" ht="15.75" customHeight="1">
      <c r="B311" s="1"/>
      <c r="D311" s="1"/>
      <c r="E311" s="1"/>
      <c r="Q311" s="1"/>
    </row>
    <row r="312" ht="15.75" customHeight="1">
      <c r="B312" s="1"/>
      <c r="D312" s="1"/>
      <c r="E312" s="1"/>
      <c r="Q312" s="1"/>
    </row>
    <row r="313" ht="15.75" customHeight="1">
      <c r="B313" s="1"/>
      <c r="D313" s="1"/>
      <c r="E313" s="1"/>
      <c r="Q313" s="1"/>
    </row>
    <row r="314" ht="15.75" customHeight="1">
      <c r="B314" s="1"/>
      <c r="D314" s="1"/>
      <c r="E314" s="1"/>
      <c r="Q314" s="1"/>
    </row>
    <row r="315" ht="15.75" customHeight="1">
      <c r="B315" s="1"/>
      <c r="D315" s="1"/>
      <c r="E315" s="1"/>
      <c r="Q315" s="1"/>
    </row>
    <row r="316" ht="15.75" customHeight="1">
      <c r="B316" s="1"/>
      <c r="D316" s="1"/>
      <c r="E316" s="1"/>
      <c r="Q316" s="1"/>
    </row>
    <row r="317" ht="15.75" customHeight="1">
      <c r="B317" s="1"/>
      <c r="D317" s="1"/>
      <c r="E317" s="1"/>
      <c r="Q317" s="1"/>
    </row>
    <row r="318" ht="15.75" customHeight="1">
      <c r="B318" s="1"/>
      <c r="D318" s="1"/>
      <c r="E318" s="1"/>
      <c r="Q318" s="1"/>
    </row>
    <row r="319" ht="15.75" customHeight="1">
      <c r="B319" s="1"/>
      <c r="D319" s="1"/>
      <c r="E319" s="1"/>
      <c r="Q319" s="1"/>
    </row>
    <row r="320" ht="15.75" customHeight="1">
      <c r="B320" s="1"/>
      <c r="D320" s="1"/>
      <c r="E320" s="1"/>
      <c r="Q320" s="1"/>
    </row>
    <row r="321" ht="15.75" customHeight="1">
      <c r="B321" s="1"/>
      <c r="D321" s="1"/>
      <c r="E321" s="1"/>
      <c r="Q321" s="1"/>
    </row>
    <row r="322" ht="15.75" customHeight="1">
      <c r="B322" s="1"/>
      <c r="D322" s="1"/>
      <c r="E322" s="1"/>
      <c r="Q322" s="1"/>
    </row>
    <row r="323" ht="15.75" customHeight="1">
      <c r="B323" s="1"/>
      <c r="D323" s="1"/>
      <c r="E323" s="1"/>
      <c r="Q323" s="1"/>
    </row>
    <row r="324" ht="15.75" customHeight="1">
      <c r="B324" s="1"/>
      <c r="D324" s="1"/>
      <c r="E324" s="1"/>
      <c r="Q324" s="1"/>
    </row>
    <row r="325" ht="15.75" customHeight="1">
      <c r="B325" s="1"/>
      <c r="D325" s="1"/>
      <c r="E325" s="1"/>
      <c r="Q325" s="1"/>
    </row>
    <row r="326" ht="15.75" customHeight="1">
      <c r="B326" s="1"/>
      <c r="D326" s="1"/>
      <c r="E326" s="1"/>
      <c r="Q326" s="1"/>
    </row>
    <row r="327" ht="15.75" customHeight="1">
      <c r="B327" s="1"/>
      <c r="D327" s="1"/>
      <c r="E327" s="1"/>
      <c r="Q327" s="1"/>
    </row>
    <row r="328" ht="15.75" customHeight="1">
      <c r="B328" s="1"/>
      <c r="D328" s="1"/>
      <c r="E328" s="1"/>
      <c r="Q328" s="1"/>
    </row>
    <row r="329" ht="15.75" customHeight="1">
      <c r="B329" s="1"/>
      <c r="D329" s="1"/>
      <c r="E329" s="1"/>
      <c r="Q329" s="1"/>
    </row>
    <row r="330" ht="15.75" customHeight="1">
      <c r="B330" s="1"/>
      <c r="D330" s="1"/>
      <c r="E330" s="1"/>
      <c r="Q330" s="1"/>
    </row>
    <row r="331" ht="15.75" customHeight="1">
      <c r="B331" s="1"/>
      <c r="D331" s="1"/>
      <c r="E331" s="1"/>
      <c r="Q331" s="1"/>
    </row>
    <row r="332" ht="15.75" customHeight="1">
      <c r="B332" s="1"/>
      <c r="D332" s="1"/>
      <c r="E332" s="1"/>
      <c r="Q332" s="1"/>
    </row>
    <row r="333" ht="15.75" customHeight="1">
      <c r="B333" s="1"/>
      <c r="D333" s="1"/>
      <c r="E333" s="1"/>
      <c r="Q333" s="1"/>
    </row>
    <row r="334" ht="15.75" customHeight="1">
      <c r="B334" s="1"/>
      <c r="D334" s="1"/>
      <c r="E334" s="1"/>
      <c r="Q334" s="1"/>
    </row>
    <row r="335" ht="15.75" customHeight="1">
      <c r="B335" s="1"/>
      <c r="D335" s="1"/>
      <c r="E335" s="1"/>
      <c r="Q335" s="1"/>
    </row>
    <row r="336" ht="15.75" customHeight="1">
      <c r="B336" s="1"/>
      <c r="D336" s="1"/>
      <c r="E336" s="1"/>
      <c r="Q336" s="1"/>
    </row>
    <row r="337" ht="15.75" customHeight="1">
      <c r="B337" s="1"/>
      <c r="D337" s="1"/>
      <c r="E337" s="1"/>
      <c r="Q337" s="1"/>
    </row>
    <row r="338" ht="15.75" customHeight="1">
      <c r="B338" s="1"/>
      <c r="D338" s="1"/>
      <c r="E338" s="1"/>
      <c r="Q338" s="1"/>
    </row>
    <row r="339" ht="15.75" customHeight="1">
      <c r="B339" s="1"/>
      <c r="D339" s="1"/>
      <c r="E339" s="1"/>
      <c r="Q339" s="1"/>
    </row>
    <row r="340" ht="15.75" customHeight="1">
      <c r="B340" s="1"/>
      <c r="D340" s="1"/>
      <c r="E340" s="1"/>
      <c r="Q340" s="1"/>
    </row>
    <row r="341" ht="15.75" customHeight="1">
      <c r="B341" s="1"/>
      <c r="D341" s="1"/>
      <c r="E341" s="1"/>
      <c r="Q341" s="1"/>
    </row>
    <row r="342" ht="15.75" customHeight="1">
      <c r="B342" s="1"/>
      <c r="D342" s="1"/>
      <c r="E342" s="1"/>
      <c r="Q342" s="1"/>
    </row>
    <row r="343" ht="15.75" customHeight="1">
      <c r="B343" s="1"/>
      <c r="D343" s="1"/>
      <c r="E343" s="1"/>
      <c r="Q343" s="1"/>
    </row>
    <row r="344" ht="15.75" customHeight="1">
      <c r="B344" s="1"/>
      <c r="D344" s="1"/>
      <c r="E344" s="1"/>
      <c r="Q344" s="1"/>
    </row>
    <row r="345" ht="15.75" customHeight="1">
      <c r="B345" s="1"/>
      <c r="D345" s="1"/>
      <c r="E345" s="1"/>
      <c r="Q345" s="1"/>
    </row>
    <row r="346" ht="15.75" customHeight="1">
      <c r="B346" s="1"/>
      <c r="D346" s="1"/>
      <c r="E346" s="1"/>
      <c r="Q346" s="1"/>
    </row>
    <row r="347" ht="15.75" customHeight="1">
      <c r="B347" s="1"/>
      <c r="D347" s="1"/>
      <c r="E347" s="1"/>
      <c r="Q347" s="1"/>
    </row>
    <row r="348" ht="15.75" customHeight="1">
      <c r="B348" s="1"/>
      <c r="D348" s="1"/>
      <c r="E348" s="1"/>
      <c r="Q348" s="1"/>
    </row>
    <row r="349" ht="15.75" customHeight="1">
      <c r="B349" s="1"/>
      <c r="D349" s="1"/>
      <c r="E349" s="1"/>
      <c r="Q349" s="1"/>
    </row>
    <row r="350" ht="15.75" customHeight="1">
      <c r="B350" s="1"/>
      <c r="D350" s="1"/>
      <c r="E350" s="1"/>
      <c r="Q350" s="1"/>
    </row>
    <row r="351" ht="15.75" customHeight="1">
      <c r="B351" s="1"/>
      <c r="D351" s="1"/>
      <c r="E351" s="1"/>
      <c r="Q351" s="1"/>
    </row>
    <row r="352" ht="15.75" customHeight="1">
      <c r="B352" s="1"/>
      <c r="D352" s="1"/>
      <c r="E352" s="1"/>
      <c r="Q352" s="1"/>
    </row>
    <row r="353" ht="15.75" customHeight="1">
      <c r="B353" s="1"/>
      <c r="D353" s="1"/>
      <c r="E353" s="1"/>
      <c r="Q353" s="1"/>
    </row>
    <row r="354" ht="15.75" customHeight="1">
      <c r="B354" s="1"/>
      <c r="D354" s="1"/>
      <c r="E354" s="1"/>
      <c r="Q354" s="1"/>
    </row>
    <row r="355" ht="15.75" customHeight="1">
      <c r="B355" s="1"/>
      <c r="D355" s="1"/>
      <c r="E355" s="1"/>
      <c r="Q355" s="1"/>
    </row>
    <row r="356" ht="15.75" customHeight="1">
      <c r="B356" s="1"/>
      <c r="D356" s="1"/>
      <c r="E356" s="1"/>
      <c r="Q356" s="1"/>
    </row>
    <row r="357" ht="15.75" customHeight="1">
      <c r="B357" s="1"/>
      <c r="D357" s="1"/>
      <c r="E357" s="1"/>
      <c r="Q357" s="1"/>
    </row>
    <row r="358" ht="15.75" customHeight="1">
      <c r="B358" s="1"/>
      <c r="D358" s="1"/>
      <c r="E358" s="1"/>
      <c r="Q358" s="1"/>
    </row>
    <row r="359" ht="15.75" customHeight="1">
      <c r="B359" s="1"/>
      <c r="D359" s="1"/>
      <c r="E359" s="1"/>
      <c r="Q359" s="1"/>
    </row>
    <row r="360" ht="15.75" customHeight="1">
      <c r="B360" s="1"/>
      <c r="D360" s="1"/>
      <c r="E360" s="1"/>
      <c r="Q360" s="1"/>
    </row>
    <row r="361" ht="15.75" customHeight="1">
      <c r="B361" s="1"/>
      <c r="D361" s="1"/>
      <c r="E361" s="1"/>
      <c r="Q361" s="1"/>
    </row>
    <row r="362" ht="15.75" customHeight="1">
      <c r="B362" s="1"/>
      <c r="D362" s="1"/>
      <c r="E362" s="1"/>
      <c r="Q362" s="1"/>
    </row>
    <row r="363" ht="15.75" customHeight="1">
      <c r="B363" s="1"/>
      <c r="D363" s="1"/>
      <c r="E363" s="1"/>
      <c r="Q363" s="1"/>
    </row>
    <row r="364" ht="15.75" customHeight="1">
      <c r="B364" s="1"/>
      <c r="D364" s="1"/>
      <c r="E364" s="1"/>
      <c r="Q364" s="1"/>
    </row>
    <row r="365" ht="15.75" customHeight="1">
      <c r="B365" s="1"/>
      <c r="D365" s="1"/>
      <c r="E365" s="1"/>
      <c r="Q365" s="1"/>
    </row>
    <row r="366" ht="15.75" customHeight="1">
      <c r="B366" s="1"/>
      <c r="D366" s="1"/>
      <c r="E366" s="1"/>
      <c r="Q366" s="1"/>
    </row>
    <row r="367" ht="15.75" customHeight="1">
      <c r="B367" s="1"/>
      <c r="D367" s="1"/>
      <c r="E367" s="1"/>
      <c r="Q367" s="1"/>
    </row>
    <row r="368" ht="15.75" customHeight="1">
      <c r="B368" s="1"/>
      <c r="D368" s="1"/>
      <c r="E368" s="1"/>
      <c r="Q368" s="1"/>
    </row>
    <row r="369" ht="15.75" customHeight="1">
      <c r="B369" s="1"/>
      <c r="D369" s="1"/>
      <c r="E369" s="1"/>
      <c r="Q369" s="1"/>
    </row>
    <row r="370" ht="15.75" customHeight="1">
      <c r="B370" s="1"/>
      <c r="D370" s="1"/>
      <c r="E370" s="1"/>
      <c r="Q370" s="1"/>
    </row>
    <row r="371" ht="15.75" customHeight="1">
      <c r="B371" s="1"/>
      <c r="D371" s="1"/>
      <c r="E371" s="1"/>
      <c r="Q371" s="1"/>
    </row>
    <row r="372" ht="15.75" customHeight="1">
      <c r="B372" s="1"/>
      <c r="D372" s="1"/>
      <c r="E372" s="1"/>
      <c r="Q372" s="1"/>
    </row>
    <row r="373" ht="15.75" customHeight="1">
      <c r="B373" s="1"/>
      <c r="D373" s="1"/>
      <c r="E373" s="1"/>
      <c r="Q373" s="1"/>
    </row>
    <row r="374" ht="15.75" customHeight="1">
      <c r="B374" s="1"/>
      <c r="D374" s="1"/>
      <c r="E374" s="1"/>
      <c r="Q374" s="1"/>
    </row>
    <row r="375" ht="15.75" customHeight="1">
      <c r="B375" s="1"/>
      <c r="D375" s="1"/>
      <c r="E375" s="1"/>
      <c r="Q375" s="1"/>
    </row>
    <row r="376" ht="15.75" customHeight="1">
      <c r="B376" s="1"/>
      <c r="D376" s="1"/>
      <c r="E376" s="1"/>
      <c r="Q376" s="1"/>
    </row>
    <row r="377" ht="15.75" customHeight="1">
      <c r="B377" s="1"/>
      <c r="D377" s="1"/>
      <c r="E377" s="1"/>
      <c r="Q377" s="1"/>
    </row>
    <row r="378" ht="15.75" customHeight="1">
      <c r="B378" s="1"/>
      <c r="D378" s="1"/>
      <c r="E378" s="1"/>
      <c r="Q378" s="1"/>
    </row>
    <row r="379" ht="15.75" customHeight="1">
      <c r="B379" s="1"/>
      <c r="D379" s="1"/>
      <c r="E379" s="1"/>
      <c r="Q379" s="1"/>
    </row>
    <row r="380" ht="15.75" customHeight="1">
      <c r="B380" s="1"/>
      <c r="D380" s="1"/>
      <c r="E380" s="1"/>
      <c r="Q380" s="1"/>
    </row>
    <row r="381" ht="15.75" customHeight="1">
      <c r="B381" s="1"/>
      <c r="D381" s="1"/>
      <c r="E381" s="1"/>
      <c r="Q381" s="1"/>
    </row>
    <row r="382" ht="15.75" customHeight="1">
      <c r="B382" s="1"/>
      <c r="D382" s="1"/>
      <c r="E382" s="1"/>
      <c r="Q382" s="1"/>
    </row>
    <row r="383" ht="15.75" customHeight="1">
      <c r="B383" s="1"/>
      <c r="D383" s="1"/>
      <c r="E383" s="1"/>
      <c r="Q383" s="1"/>
    </row>
    <row r="384" ht="15.75" customHeight="1">
      <c r="B384" s="1"/>
      <c r="D384" s="1"/>
      <c r="E384" s="1"/>
      <c r="Q384" s="1"/>
    </row>
    <row r="385" ht="15.75" customHeight="1">
      <c r="B385" s="1"/>
      <c r="D385" s="1"/>
      <c r="E385" s="1"/>
      <c r="Q385" s="1"/>
    </row>
    <row r="386" ht="15.75" customHeight="1">
      <c r="B386" s="1"/>
      <c r="D386" s="1"/>
      <c r="E386" s="1"/>
      <c r="Q386" s="1"/>
    </row>
    <row r="387" ht="15.75" customHeight="1">
      <c r="B387" s="1"/>
      <c r="D387" s="1"/>
      <c r="E387" s="1"/>
      <c r="Q387" s="1"/>
    </row>
    <row r="388" ht="15.75" customHeight="1">
      <c r="B388" s="1"/>
      <c r="D388" s="1"/>
      <c r="E388" s="1"/>
      <c r="Q388" s="1"/>
    </row>
    <row r="389" ht="15.75" customHeight="1">
      <c r="B389" s="1"/>
      <c r="D389" s="1"/>
      <c r="E389" s="1"/>
      <c r="Q389" s="1"/>
    </row>
    <row r="390" ht="15.75" customHeight="1">
      <c r="B390" s="1"/>
      <c r="D390" s="1"/>
      <c r="E390" s="1"/>
      <c r="Q390" s="1"/>
    </row>
    <row r="391" ht="15.75" customHeight="1">
      <c r="B391" s="1"/>
      <c r="D391" s="1"/>
      <c r="E391" s="1"/>
      <c r="Q391" s="1"/>
    </row>
    <row r="392" ht="15.75" customHeight="1">
      <c r="B392" s="1"/>
      <c r="D392" s="1"/>
      <c r="E392" s="1"/>
      <c r="Q392" s="1"/>
    </row>
    <row r="393" ht="15.75" customHeight="1">
      <c r="B393" s="1"/>
      <c r="D393" s="1"/>
      <c r="E393" s="1"/>
      <c r="Q393" s="1"/>
    </row>
    <row r="394" ht="15.75" customHeight="1">
      <c r="B394" s="1"/>
      <c r="D394" s="1"/>
      <c r="E394" s="1"/>
      <c r="Q394" s="1"/>
    </row>
    <row r="395" ht="15.75" customHeight="1">
      <c r="B395" s="1"/>
      <c r="D395" s="1"/>
      <c r="E395" s="1"/>
      <c r="Q395" s="1"/>
    </row>
    <row r="396" ht="15.75" customHeight="1">
      <c r="B396" s="1"/>
      <c r="D396" s="1"/>
      <c r="E396" s="1"/>
      <c r="Q396" s="1"/>
    </row>
    <row r="397" ht="15.75" customHeight="1">
      <c r="B397" s="1"/>
      <c r="D397" s="1"/>
      <c r="E397" s="1"/>
      <c r="Q397" s="1"/>
    </row>
    <row r="398" ht="15.75" customHeight="1">
      <c r="B398" s="1"/>
      <c r="D398" s="1"/>
      <c r="E398" s="1"/>
      <c r="Q398" s="1"/>
    </row>
    <row r="399" ht="15.75" customHeight="1">
      <c r="B399" s="1"/>
      <c r="D399" s="1"/>
      <c r="E399" s="1"/>
      <c r="Q399" s="1"/>
    </row>
    <row r="400" ht="15.75" customHeight="1">
      <c r="B400" s="1"/>
      <c r="D400" s="1"/>
      <c r="E400" s="1"/>
      <c r="Q400" s="1"/>
    </row>
    <row r="401" ht="15.75" customHeight="1">
      <c r="B401" s="1"/>
      <c r="D401" s="1"/>
      <c r="E401" s="1"/>
      <c r="Q401" s="1"/>
    </row>
    <row r="402" ht="15.75" customHeight="1">
      <c r="B402" s="1"/>
      <c r="D402" s="1"/>
      <c r="E402" s="1"/>
      <c r="Q402" s="1"/>
    </row>
    <row r="403" ht="15.75" customHeight="1">
      <c r="B403" s="1"/>
      <c r="D403" s="1"/>
      <c r="E403" s="1"/>
      <c r="Q403" s="1"/>
    </row>
    <row r="404" ht="15.75" customHeight="1">
      <c r="B404" s="1"/>
      <c r="D404" s="1"/>
      <c r="E404" s="1"/>
      <c r="Q404" s="1"/>
    </row>
    <row r="405" ht="15.75" customHeight="1">
      <c r="B405" s="1"/>
      <c r="D405" s="1"/>
      <c r="E405" s="1"/>
      <c r="Q405" s="1"/>
    </row>
    <row r="406" ht="15.75" customHeight="1">
      <c r="B406" s="1"/>
      <c r="D406" s="1"/>
      <c r="E406" s="1"/>
      <c r="Q406" s="1"/>
    </row>
    <row r="407" ht="15.75" customHeight="1">
      <c r="B407" s="1"/>
      <c r="D407" s="1"/>
      <c r="E407" s="1"/>
      <c r="Q407" s="1"/>
    </row>
    <row r="408" ht="15.75" customHeight="1">
      <c r="B408" s="1"/>
      <c r="D408" s="1"/>
      <c r="E408" s="1"/>
      <c r="Q408" s="1"/>
    </row>
    <row r="409" ht="15.75" customHeight="1">
      <c r="B409" s="1"/>
      <c r="D409" s="1"/>
      <c r="E409" s="1"/>
      <c r="Q409" s="1"/>
    </row>
    <row r="410" ht="15.75" customHeight="1">
      <c r="B410" s="1"/>
      <c r="D410" s="1"/>
      <c r="E410" s="1"/>
      <c r="Q410" s="1"/>
    </row>
    <row r="411" ht="15.75" customHeight="1">
      <c r="B411" s="1"/>
      <c r="D411" s="1"/>
      <c r="E411" s="1"/>
      <c r="Q411" s="1"/>
    </row>
    <row r="412" ht="15.75" customHeight="1">
      <c r="B412" s="1"/>
      <c r="D412" s="1"/>
      <c r="E412" s="1"/>
      <c r="Q412" s="1"/>
    </row>
    <row r="413" ht="15.75" customHeight="1">
      <c r="B413" s="1"/>
      <c r="D413" s="1"/>
      <c r="E413" s="1"/>
      <c r="Q413" s="1"/>
    </row>
    <row r="414" ht="15.75" customHeight="1">
      <c r="B414" s="1"/>
      <c r="D414" s="1"/>
      <c r="E414" s="1"/>
      <c r="Q414" s="1"/>
    </row>
    <row r="415" ht="15.75" customHeight="1">
      <c r="B415" s="1"/>
      <c r="D415" s="1"/>
      <c r="E415" s="1"/>
      <c r="Q415" s="1"/>
    </row>
    <row r="416" ht="15.75" customHeight="1">
      <c r="B416" s="1"/>
      <c r="D416" s="1"/>
      <c r="E416" s="1"/>
      <c r="Q416" s="1"/>
    </row>
    <row r="417" ht="15.75" customHeight="1">
      <c r="B417" s="1"/>
      <c r="D417" s="1"/>
      <c r="E417" s="1"/>
      <c r="Q417" s="1"/>
    </row>
    <row r="418" ht="15.75" customHeight="1">
      <c r="B418" s="1"/>
      <c r="D418" s="1"/>
      <c r="E418" s="1"/>
      <c r="Q418" s="1"/>
    </row>
    <row r="419" ht="15.75" customHeight="1">
      <c r="B419" s="1"/>
      <c r="D419" s="1"/>
      <c r="E419" s="1"/>
      <c r="Q419" s="1"/>
    </row>
    <row r="420" ht="15.75" customHeight="1">
      <c r="B420" s="1"/>
      <c r="D420" s="1"/>
      <c r="E420" s="1"/>
      <c r="Q420" s="1"/>
    </row>
    <row r="421" ht="15.75" customHeight="1">
      <c r="B421" s="1"/>
      <c r="D421" s="1"/>
      <c r="E421" s="1"/>
      <c r="Q421" s="1"/>
    </row>
    <row r="422" ht="15.75" customHeight="1">
      <c r="B422" s="1"/>
      <c r="D422" s="1"/>
      <c r="E422" s="1"/>
      <c r="Q422" s="1"/>
    </row>
    <row r="423" ht="15.75" customHeight="1">
      <c r="B423" s="1"/>
      <c r="D423" s="1"/>
      <c r="E423" s="1"/>
      <c r="Q423" s="1"/>
    </row>
    <row r="424" ht="15.75" customHeight="1">
      <c r="B424" s="1"/>
      <c r="D424" s="1"/>
      <c r="E424" s="1"/>
      <c r="Q424" s="1"/>
    </row>
    <row r="425" ht="15.75" customHeight="1">
      <c r="B425" s="1"/>
      <c r="D425" s="1"/>
      <c r="E425" s="1"/>
      <c r="Q425" s="1"/>
    </row>
    <row r="426" ht="15.75" customHeight="1">
      <c r="B426" s="1"/>
      <c r="D426" s="1"/>
      <c r="E426" s="1"/>
      <c r="Q426" s="1"/>
    </row>
    <row r="427" ht="15.75" customHeight="1">
      <c r="B427" s="1"/>
      <c r="D427" s="1"/>
      <c r="E427" s="1"/>
      <c r="Q427" s="1"/>
    </row>
    <row r="428" ht="15.75" customHeight="1">
      <c r="B428" s="1"/>
      <c r="D428" s="1"/>
      <c r="E428" s="1"/>
      <c r="Q428" s="1"/>
    </row>
    <row r="429" ht="15.75" customHeight="1">
      <c r="B429" s="1"/>
      <c r="D429" s="1"/>
      <c r="E429" s="1"/>
      <c r="Q429" s="1"/>
    </row>
    <row r="430" ht="15.75" customHeight="1">
      <c r="B430" s="1"/>
      <c r="D430" s="1"/>
      <c r="E430" s="1"/>
      <c r="Q430" s="1"/>
    </row>
    <row r="431" ht="15.75" customHeight="1">
      <c r="B431" s="1"/>
      <c r="D431" s="1"/>
      <c r="E431" s="1"/>
      <c r="Q431" s="1"/>
    </row>
    <row r="432" ht="15.75" customHeight="1">
      <c r="B432" s="1"/>
      <c r="D432" s="1"/>
      <c r="E432" s="1"/>
      <c r="Q432" s="1"/>
    </row>
    <row r="433" ht="15.75" customHeight="1">
      <c r="B433" s="1"/>
      <c r="D433" s="1"/>
      <c r="E433" s="1"/>
      <c r="Q433" s="1"/>
    </row>
    <row r="434" ht="15.75" customHeight="1">
      <c r="B434" s="1"/>
      <c r="D434" s="1"/>
      <c r="E434" s="1"/>
      <c r="Q434" s="1"/>
    </row>
    <row r="435" ht="15.75" customHeight="1">
      <c r="B435" s="1"/>
      <c r="D435" s="1"/>
      <c r="E435" s="1"/>
      <c r="Q435" s="1"/>
    </row>
    <row r="436" ht="15.75" customHeight="1">
      <c r="B436" s="1"/>
      <c r="D436" s="1"/>
      <c r="E436" s="1"/>
      <c r="Q436" s="1"/>
    </row>
    <row r="437" ht="15.75" customHeight="1">
      <c r="B437" s="1"/>
      <c r="D437" s="1"/>
      <c r="E437" s="1"/>
      <c r="Q437" s="1"/>
    </row>
    <row r="438" ht="15.75" customHeight="1">
      <c r="B438" s="1"/>
      <c r="D438" s="1"/>
      <c r="E438" s="1"/>
      <c r="Q438" s="1"/>
    </row>
    <row r="439" ht="15.75" customHeight="1">
      <c r="B439" s="1"/>
      <c r="D439" s="1"/>
      <c r="E439" s="1"/>
      <c r="Q439" s="1"/>
    </row>
    <row r="440" ht="15.75" customHeight="1">
      <c r="B440" s="1"/>
      <c r="D440" s="1"/>
      <c r="E440" s="1"/>
      <c r="Q440" s="1"/>
    </row>
    <row r="441" ht="15.75" customHeight="1">
      <c r="B441" s="1"/>
      <c r="D441" s="1"/>
      <c r="E441" s="1"/>
      <c r="Q441" s="1"/>
    </row>
    <row r="442" ht="15.75" customHeight="1">
      <c r="B442" s="1"/>
      <c r="D442" s="1"/>
      <c r="E442" s="1"/>
      <c r="Q442" s="1"/>
    </row>
    <row r="443" ht="15.75" customHeight="1">
      <c r="B443" s="1"/>
      <c r="D443" s="1"/>
      <c r="E443" s="1"/>
      <c r="Q443" s="1"/>
    </row>
    <row r="444" ht="15.75" customHeight="1">
      <c r="B444" s="1"/>
      <c r="D444" s="1"/>
      <c r="E444" s="1"/>
      <c r="Q444" s="1"/>
    </row>
    <row r="445" ht="15.75" customHeight="1">
      <c r="B445" s="1"/>
      <c r="D445" s="1"/>
      <c r="E445" s="1"/>
      <c r="Q445" s="1"/>
    </row>
    <row r="446" ht="15.75" customHeight="1">
      <c r="B446" s="1"/>
      <c r="D446" s="1"/>
      <c r="E446" s="1"/>
      <c r="Q446" s="1"/>
    </row>
    <row r="447" ht="15.75" customHeight="1">
      <c r="B447" s="1"/>
      <c r="D447" s="1"/>
      <c r="E447" s="1"/>
      <c r="Q447" s="1"/>
    </row>
    <row r="448" ht="15.75" customHeight="1">
      <c r="B448" s="1"/>
      <c r="D448" s="1"/>
      <c r="E448" s="1"/>
      <c r="Q448" s="1"/>
    </row>
    <row r="449" ht="15.75" customHeight="1">
      <c r="B449" s="1"/>
      <c r="D449" s="1"/>
      <c r="E449" s="1"/>
      <c r="Q449" s="1"/>
    </row>
    <row r="450" ht="15.75" customHeight="1">
      <c r="B450" s="1"/>
      <c r="D450" s="1"/>
      <c r="E450" s="1"/>
      <c r="Q450" s="1"/>
    </row>
    <row r="451" ht="15.75" customHeight="1">
      <c r="B451" s="1"/>
      <c r="D451" s="1"/>
      <c r="E451" s="1"/>
      <c r="Q451" s="1"/>
    </row>
    <row r="452" ht="15.75" customHeight="1">
      <c r="B452" s="1"/>
      <c r="D452" s="1"/>
      <c r="E452" s="1"/>
      <c r="Q452" s="1"/>
    </row>
    <row r="453" ht="15.75" customHeight="1">
      <c r="B453" s="1"/>
      <c r="D453" s="1"/>
      <c r="E453" s="1"/>
      <c r="Q453" s="1"/>
    </row>
    <row r="454" ht="15.75" customHeight="1">
      <c r="B454" s="1"/>
      <c r="D454" s="1"/>
      <c r="E454" s="1"/>
      <c r="Q454" s="1"/>
    </row>
    <row r="455" ht="15.75" customHeight="1">
      <c r="B455" s="1"/>
      <c r="D455" s="1"/>
      <c r="E455" s="1"/>
      <c r="Q455" s="1"/>
    </row>
    <row r="456" ht="15.75" customHeight="1">
      <c r="B456" s="1"/>
      <c r="D456" s="1"/>
      <c r="E456" s="1"/>
      <c r="Q456" s="1"/>
    </row>
    <row r="457" ht="15.75" customHeight="1">
      <c r="B457" s="1"/>
      <c r="D457" s="1"/>
      <c r="E457" s="1"/>
      <c r="Q457" s="1"/>
    </row>
    <row r="458" ht="15.75" customHeight="1">
      <c r="B458" s="1"/>
      <c r="D458" s="1"/>
      <c r="E458" s="1"/>
      <c r="Q458" s="1"/>
    </row>
    <row r="459" ht="15.75" customHeight="1">
      <c r="B459" s="1"/>
      <c r="D459" s="1"/>
      <c r="E459" s="1"/>
      <c r="Q459" s="1"/>
    </row>
    <row r="460" ht="15.75" customHeight="1">
      <c r="B460" s="1"/>
      <c r="D460" s="1"/>
      <c r="E460" s="1"/>
      <c r="Q460" s="1"/>
    </row>
    <row r="461" ht="15.75" customHeight="1">
      <c r="B461" s="1"/>
      <c r="D461" s="1"/>
      <c r="E461" s="1"/>
      <c r="Q461" s="1"/>
    </row>
    <row r="462" ht="15.75" customHeight="1">
      <c r="B462" s="1"/>
      <c r="D462" s="1"/>
      <c r="E462" s="1"/>
      <c r="Q462" s="1"/>
    </row>
    <row r="463" ht="15.75" customHeight="1">
      <c r="B463" s="1"/>
      <c r="D463" s="1"/>
      <c r="E463" s="1"/>
      <c r="Q463" s="1"/>
    </row>
    <row r="464" ht="15.75" customHeight="1">
      <c r="B464" s="1"/>
      <c r="D464" s="1"/>
      <c r="E464" s="1"/>
      <c r="Q464" s="1"/>
    </row>
    <row r="465" ht="15.75" customHeight="1">
      <c r="B465" s="1"/>
      <c r="D465" s="1"/>
      <c r="E465" s="1"/>
      <c r="Q465" s="1"/>
    </row>
    <row r="466" ht="15.75" customHeight="1">
      <c r="B466" s="1"/>
      <c r="D466" s="1"/>
      <c r="E466" s="1"/>
      <c r="Q466" s="1"/>
    </row>
    <row r="467" ht="15.75" customHeight="1">
      <c r="B467" s="1"/>
      <c r="D467" s="1"/>
      <c r="E467" s="1"/>
      <c r="Q467" s="1"/>
    </row>
    <row r="468" ht="15.75" customHeight="1">
      <c r="B468" s="1"/>
      <c r="D468" s="1"/>
      <c r="E468" s="1"/>
      <c r="Q468" s="1"/>
    </row>
    <row r="469" ht="15.75" customHeight="1">
      <c r="B469" s="1"/>
      <c r="D469" s="1"/>
      <c r="E469" s="1"/>
      <c r="Q469" s="1"/>
    </row>
    <row r="470" ht="15.75" customHeight="1">
      <c r="B470" s="1"/>
      <c r="D470" s="1"/>
      <c r="E470" s="1"/>
      <c r="Q470" s="1"/>
    </row>
    <row r="471" ht="15.75" customHeight="1">
      <c r="B471" s="1"/>
      <c r="D471" s="1"/>
      <c r="E471" s="1"/>
      <c r="Q471" s="1"/>
    </row>
    <row r="472" ht="15.75" customHeight="1">
      <c r="B472" s="1"/>
      <c r="D472" s="1"/>
      <c r="E472" s="1"/>
      <c r="Q472" s="1"/>
    </row>
    <row r="473" ht="15.75" customHeight="1">
      <c r="B473" s="1"/>
      <c r="D473" s="1"/>
      <c r="E473" s="1"/>
      <c r="Q473" s="1"/>
    </row>
    <row r="474" ht="15.75" customHeight="1">
      <c r="B474" s="1"/>
      <c r="D474" s="1"/>
      <c r="E474" s="1"/>
      <c r="Q474" s="1"/>
    </row>
    <row r="475" ht="15.75" customHeight="1">
      <c r="B475" s="1"/>
      <c r="D475" s="1"/>
      <c r="E475" s="1"/>
      <c r="Q475" s="1"/>
    </row>
    <row r="476" ht="15.75" customHeight="1">
      <c r="B476" s="1"/>
      <c r="D476" s="1"/>
      <c r="E476" s="1"/>
      <c r="Q476" s="1"/>
    </row>
    <row r="477" ht="15.75" customHeight="1">
      <c r="B477" s="1"/>
      <c r="D477" s="1"/>
      <c r="E477" s="1"/>
      <c r="Q477" s="1"/>
    </row>
    <row r="478" ht="15.75" customHeight="1">
      <c r="B478" s="1"/>
      <c r="D478" s="1"/>
      <c r="E478" s="1"/>
      <c r="Q478" s="1"/>
    </row>
    <row r="479" ht="15.75" customHeight="1">
      <c r="B479" s="1"/>
      <c r="D479" s="1"/>
      <c r="E479" s="1"/>
      <c r="Q479" s="1"/>
    </row>
    <row r="480" ht="15.75" customHeight="1">
      <c r="B480" s="1"/>
      <c r="D480" s="1"/>
      <c r="E480" s="1"/>
      <c r="Q480" s="1"/>
    </row>
    <row r="481" ht="15.75" customHeight="1">
      <c r="B481" s="1"/>
      <c r="D481" s="1"/>
      <c r="E481" s="1"/>
      <c r="Q481" s="1"/>
    </row>
    <row r="482" ht="15.75" customHeight="1">
      <c r="B482" s="1"/>
      <c r="D482" s="1"/>
      <c r="E482" s="1"/>
      <c r="Q482" s="1"/>
    </row>
    <row r="483" ht="15.75" customHeight="1">
      <c r="B483" s="1"/>
      <c r="D483" s="1"/>
      <c r="E483" s="1"/>
      <c r="Q483" s="1"/>
    </row>
    <row r="484" ht="15.75" customHeight="1">
      <c r="B484" s="1"/>
      <c r="D484" s="1"/>
      <c r="E484" s="1"/>
      <c r="Q484" s="1"/>
    </row>
    <row r="485" ht="15.75" customHeight="1">
      <c r="B485" s="1"/>
      <c r="D485" s="1"/>
      <c r="E485" s="1"/>
      <c r="Q485" s="1"/>
    </row>
    <row r="486" ht="15.75" customHeight="1">
      <c r="B486" s="1"/>
      <c r="D486" s="1"/>
      <c r="E486" s="1"/>
      <c r="Q486" s="1"/>
    </row>
    <row r="487" ht="15.75" customHeight="1">
      <c r="B487" s="1"/>
      <c r="D487" s="1"/>
      <c r="E487" s="1"/>
      <c r="Q487" s="1"/>
    </row>
    <row r="488" ht="15.75" customHeight="1">
      <c r="B488" s="1"/>
      <c r="D488" s="1"/>
      <c r="E488" s="1"/>
      <c r="Q488" s="1"/>
    </row>
    <row r="489" ht="15.75" customHeight="1">
      <c r="B489" s="1"/>
      <c r="D489" s="1"/>
      <c r="E489" s="1"/>
      <c r="Q489" s="1"/>
    </row>
    <row r="490" ht="15.75" customHeight="1">
      <c r="B490" s="1"/>
      <c r="D490" s="1"/>
      <c r="E490" s="1"/>
      <c r="Q490" s="1"/>
    </row>
    <row r="491" ht="15.75" customHeight="1">
      <c r="B491" s="1"/>
      <c r="D491" s="1"/>
      <c r="E491" s="1"/>
      <c r="Q491" s="1"/>
    </row>
    <row r="492" ht="15.75" customHeight="1">
      <c r="B492" s="1"/>
      <c r="D492" s="1"/>
      <c r="E492" s="1"/>
      <c r="Q492" s="1"/>
    </row>
    <row r="493" ht="15.75" customHeight="1">
      <c r="B493" s="1"/>
      <c r="D493" s="1"/>
      <c r="E493" s="1"/>
      <c r="Q493" s="1"/>
    </row>
    <row r="494" ht="15.75" customHeight="1">
      <c r="B494" s="1"/>
      <c r="D494" s="1"/>
      <c r="E494" s="1"/>
      <c r="Q494" s="1"/>
    </row>
    <row r="495" ht="15.75" customHeight="1">
      <c r="B495" s="1"/>
      <c r="D495" s="1"/>
      <c r="E495" s="1"/>
      <c r="Q495" s="1"/>
    </row>
    <row r="496" ht="15.75" customHeight="1">
      <c r="B496" s="1"/>
      <c r="D496" s="1"/>
      <c r="E496" s="1"/>
      <c r="Q496" s="1"/>
    </row>
    <row r="497" ht="15.75" customHeight="1">
      <c r="B497" s="1"/>
      <c r="D497" s="1"/>
      <c r="E497" s="1"/>
      <c r="Q497" s="1"/>
    </row>
    <row r="498" ht="15.75" customHeight="1">
      <c r="B498" s="1"/>
      <c r="D498" s="1"/>
      <c r="E498" s="1"/>
      <c r="Q498" s="1"/>
    </row>
    <row r="499" ht="15.75" customHeight="1">
      <c r="B499" s="1"/>
      <c r="D499" s="1"/>
      <c r="E499" s="1"/>
      <c r="Q499" s="1"/>
    </row>
    <row r="500" ht="15.75" customHeight="1">
      <c r="B500" s="1"/>
      <c r="D500" s="1"/>
      <c r="E500" s="1"/>
      <c r="Q500" s="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2:R2"/>
  </mergeCells>
  <conditionalFormatting sqref="J5:J15">
    <cfRule type="colorScale" priority="1">
      <colorScale>
        <cfvo type="formula" val="0"/>
        <cfvo type="formula" val="0.7"/>
        <cfvo type="formula" val="1"/>
        <color rgb="FFF8696B"/>
        <color rgb="FFFFEB84"/>
        <color rgb="FF63BE7B"/>
      </colorScale>
    </cfRule>
  </conditionalFormatting>
  <conditionalFormatting sqref="M5:M15">
    <cfRule type="colorScale" priority="2">
      <colorScale>
        <cfvo type="formula" val="0"/>
        <cfvo type="formula" val="0.7"/>
        <cfvo type="formula" val="1"/>
        <color rgb="FFF8696B"/>
        <color rgb="FFFFEB84"/>
        <color rgb="FF63BE7B"/>
      </colorScale>
    </cfRule>
  </conditionalFormatting>
  <dataValidations>
    <dataValidation type="decimal" allowBlank="1" sqref="Q5:Q500">
      <formula1>Lists!$F$2:$F$6</formula1>
      <formula2>0.0</formula2>
    </dataValidation>
    <dataValidation type="list" allowBlank="1" sqref="B5:B500">
      <formula1>PlayerNames</formula1>
    </dataValidation>
    <dataValidation type="list" allowBlank="1" sqref="D5:D500">
      <formula1>Lists!$B$2:$B$4</formula1>
    </dataValidation>
    <dataValidation type="list" allowBlank="1" sqref="E5:E500">
      <formula1>Lists!$D$2:$D$12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4.57"/>
    <col customWidth="1" min="4" max="4" width="15.86"/>
    <col customWidth="1" min="5" max="6" width="16.0"/>
    <col customWidth="1" min="7" max="7" width="10.0"/>
    <col customWidth="1" min="8" max="8" width="12.0"/>
    <col customWidth="1" min="9" max="9" width="10.0"/>
    <col customWidth="1" min="10" max="10" width="14.0"/>
    <col customWidth="1" min="11" max="11" width="15.0"/>
    <col customWidth="1" min="12" max="12" width="14.0"/>
    <col customWidth="1" min="13" max="13" width="18.0"/>
    <col customWidth="1" min="14" max="14" width="17.0"/>
    <col customWidth="1" min="15" max="15" width="12.0"/>
    <col customWidth="1" min="16" max="16" width="11.0"/>
    <col customWidth="1" min="17" max="17" width="28.0"/>
    <col customWidth="1" min="18" max="26" width="8.71"/>
  </cols>
  <sheetData>
    <row r="1" ht="24.0" customHeight="1">
      <c r="A1" s="3" t="s">
        <v>170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ht="31.5" customHeight="1">
      <c r="A2" s="6" t="s">
        <v>171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4" ht="31.5" customHeight="1">
      <c r="A4" s="7" t="s">
        <v>172</v>
      </c>
      <c r="B4" s="7" t="s">
        <v>52</v>
      </c>
      <c r="C4" s="7" t="s">
        <v>103</v>
      </c>
      <c r="D4" s="7" t="s">
        <v>104</v>
      </c>
      <c r="E4" s="7" t="s">
        <v>173</v>
      </c>
      <c r="F4" s="7" t="s">
        <v>174</v>
      </c>
      <c r="G4" s="7" t="s">
        <v>120</v>
      </c>
      <c r="H4" s="7" t="s">
        <v>121</v>
      </c>
      <c r="I4" s="7" t="s">
        <v>122</v>
      </c>
      <c r="J4" s="7" t="s">
        <v>175</v>
      </c>
      <c r="K4" s="7" t="s">
        <v>176</v>
      </c>
      <c r="L4" s="7" t="s">
        <v>177</v>
      </c>
      <c r="M4" s="7" t="s">
        <v>178</v>
      </c>
      <c r="N4" s="7" t="s">
        <v>179</v>
      </c>
      <c r="O4" s="7" t="s">
        <v>180</v>
      </c>
      <c r="P4" s="7" t="s">
        <v>181</v>
      </c>
      <c r="Q4" s="7" t="s">
        <v>59</v>
      </c>
    </row>
    <row r="5">
      <c r="A5" s="14" t="str">
        <f t="shared" ref="A5:A91" si="1">IF(B5="","","MD-"&amp;(ROW()-4))</f>
        <v>MD-1</v>
      </c>
      <c r="B5" s="9" t="s">
        <v>62</v>
      </c>
      <c r="C5" s="15">
        <v>46090.0</v>
      </c>
      <c r="D5" s="9" t="s">
        <v>11</v>
      </c>
      <c r="E5" s="9" t="s">
        <v>70</v>
      </c>
      <c r="F5" s="9" t="s">
        <v>31</v>
      </c>
      <c r="G5" s="9">
        <v>10.0</v>
      </c>
      <c r="H5" s="9">
        <v>6.0</v>
      </c>
      <c r="I5" s="14" t="str">
        <f t="shared" ref="I5:I61" si="2">IF(OR(G5="",H5=""),"",IF(G5&gt;H5,"Win",IF(G5&lt;H5,"Loss","Tie")))</f>
        <v>Win</v>
      </c>
      <c r="J5" s="9"/>
      <c r="K5" s="9"/>
      <c r="L5" s="9"/>
      <c r="M5" s="9"/>
      <c r="N5" s="9"/>
      <c r="O5" s="9"/>
      <c r="P5" s="9"/>
      <c r="Q5" s="9" t="s">
        <v>182</v>
      </c>
    </row>
    <row r="6">
      <c r="A6" s="14" t="str">
        <f t="shared" si="1"/>
        <v>MD-2</v>
      </c>
      <c r="B6" s="9" t="s">
        <v>70</v>
      </c>
      <c r="C6" s="15">
        <v>46090.0</v>
      </c>
      <c r="D6" s="9" t="s">
        <v>11</v>
      </c>
      <c r="E6" s="9" t="s">
        <v>62</v>
      </c>
      <c r="F6" s="9" t="s">
        <v>31</v>
      </c>
      <c r="G6" s="9">
        <v>6.0</v>
      </c>
      <c r="H6" s="9">
        <v>10.0</v>
      </c>
      <c r="I6" s="14" t="str">
        <f t="shared" si="2"/>
        <v>Loss</v>
      </c>
      <c r="J6" s="9"/>
      <c r="K6" s="9"/>
      <c r="L6" s="9"/>
      <c r="M6" s="9"/>
      <c r="N6" s="9"/>
      <c r="O6" s="9"/>
      <c r="P6" s="9"/>
      <c r="Q6" s="9" t="s">
        <v>183</v>
      </c>
    </row>
    <row r="7">
      <c r="A7" s="14" t="str">
        <f t="shared" si="1"/>
        <v>MD-3</v>
      </c>
      <c r="B7" s="9" t="s">
        <v>62</v>
      </c>
      <c r="C7" s="15">
        <v>46090.0</v>
      </c>
      <c r="D7" s="9" t="s">
        <v>11</v>
      </c>
      <c r="E7" s="10" t="s">
        <v>19</v>
      </c>
      <c r="F7" s="9" t="s">
        <v>36</v>
      </c>
      <c r="G7" s="9">
        <v>2.0</v>
      </c>
      <c r="H7" s="9">
        <v>6.0</v>
      </c>
      <c r="I7" s="14" t="str">
        <f t="shared" si="2"/>
        <v>Loss</v>
      </c>
      <c r="J7" s="9"/>
      <c r="K7" s="9"/>
      <c r="L7" s="9"/>
      <c r="M7" s="9"/>
      <c r="N7" s="9"/>
      <c r="O7" s="9"/>
      <c r="P7" s="9"/>
      <c r="Q7" s="9" t="s">
        <v>131</v>
      </c>
    </row>
    <row r="8">
      <c r="A8" s="14" t="str">
        <f t="shared" si="1"/>
        <v>MD-4</v>
      </c>
      <c r="B8" s="9" t="s">
        <v>62</v>
      </c>
      <c r="C8" s="15">
        <v>46090.0</v>
      </c>
      <c r="D8" s="2" t="s">
        <v>28</v>
      </c>
      <c r="E8" s="2" t="s">
        <v>77</v>
      </c>
      <c r="F8" s="2" t="s">
        <v>31</v>
      </c>
      <c r="G8" s="2">
        <v>1.0</v>
      </c>
      <c r="H8" s="2">
        <v>10.0</v>
      </c>
      <c r="I8" s="14" t="str">
        <f t="shared" si="2"/>
        <v>Loss</v>
      </c>
      <c r="J8" s="1"/>
      <c r="K8" s="1"/>
      <c r="L8" s="1"/>
      <c r="M8" s="1"/>
      <c r="N8" s="1"/>
    </row>
    <row r="9">
      <c r="A9" s="14" t="str">
        <f t="shared" si="1"/>
        <v>MD-5</v>
      </c>
      <c r="B9" s="9" t="s">
        <v>70</v>
      </c>
      <c r="C9" s="15">
        <v>46090.0</v>
      </c>
      <c r="D9" s="2" t="s">
        <v>28</v>
      </c>
      <c r="E9" s="2" t="s">
        <v>77</v>
      </c>
      <c r="F9" s="2" t="s">
        <v>31</v>
      </c>
      <c r="G9" s="2">
        <v>2.0</v>
      </c>
      <c r="H9" s="2">
        <v>10.0</v>
      </c>
      <c r="I9" s="14" t="str">
        <f t="shared" si="2"/>
        <v>Loss</v>
      </c>
      <c r="J9" s="1"/>
      <c r="K9" s="1"/>
      <c r="L9" s="1"/>
      <c r="M9" s="1"/>
      <c r="N9" s="1"/>
    </row>
    <row r="10">
      <c r="A10" s="14" t="str">
        <f t="shared" si="1"/>
        <v>MD-6</v>
      </c>
      <c r="B10" s="10" t="s">
        <v>77</v>
      </c>
      <c r="C10" s="15">
        <v>46090.0</v>
      </c>
      <c r="D10" s="2" t="s">
        <v>28</v>
      </c>
      <c r="E10" s="2" t="s">
        <v>62</v>
      </c>
      <c r="F10" s="2" t="s">
        <v>31</v>
      </c>
      <c r="G10" s="2">
        <v>10.0</v>
      </c>
      <c r="H10" s="2">
        <v>1.0</v>
      </c>
      <c r="I10" s="14" t="str">
        <f t="shared" si="2"/>
        <v>Win</v>
      </c>
      <c r="J10" s="1"/>
      <c r="K10" s="1"/>
      <c r="L10" s="1"/>
      <c r="M10" s="1"/>
      <c r="N10" s="1"/>
    </row>
    <row r="11">
      <c r="A11" s="14" t="str">
        <f t="shared" si="1"/>
        <v>MD-7</v>
      </c>
      <c r="B11" s="10" t="s">
        <v>77</v>
      </c>
      <c r="C11" s="15">
        <v>46090.0</v>
      </c>
      <c r="D11" s="2" t="s">
        <v>28</v>
      </c>
      <c r="E11" s="2" t="s">
        <v>70</v>
      </c>
      <c r="F11" s="2" t="s">
        <v>31</v>
      </c>
      <c r="G11" s="2">
        <v>10.0</v>
      </c>
      <c r="H11" s="2">
        <v>2.0</v>
      </c>
      <c r="I11" s="14" t="str">
        <f t="shared" si="2"/>
        <v>Win</v>
      </c>
      <c r="J11" s="1"/>
      <c r="K11" s="1"/>
      <c r="L11" s="1"/>
      <c r="M11" s="1"/>
      <c r="N11" s="1"/>
    </row>
    <row r="12">
      <c r="A12" s="14" t="str">
        <f t="shared" si="1"/>
        <v>MD-8</v>
      </c>
      <c r="B12" s="10" t="s">
        <v>77</v>
      </c>
      <c r="C12" s="15">
        <v>46090.0</v>
      </c>
      <c r="D12" s="2" t="s">
        <v>28</v>
      </c>
      <c r="E12" s="2" t="s">
        <v>81</v>
      </c>
      <c r="F12" s="2" t="s">
        <v>31</v>
      </c>
      <c r="G12" s="2">
        <v>8.0</v>
      </c>
      <c r="H12" s="2">
        <v>10.0</v>
      </c>
      <c r="I12" s="14" t="str">
        <f t="shared" si="2"/>
        <v>Loss</v>
      </c>
      <c r="J12" s="1"/>
      <c r="K12" s="1"/>
      <c r="L12" s="1"/>
      <c r="M12" s="1"/>
      <c r="N12" s="1"/>
    </row>
    <row r="13">
      <c r="A13" s="14" t="str">
        <f t="shared" si="1"/>
        <v>MD-9</v>
      </c>
      <c r="B13" s="10" t="s">
        <v>77</v>
      </c>
      <c r="C13" s="15">
        <v>46090.0</v>
      </c>
      <c r="D13" s="2" t="s">
        <v>28</v>
      </c>
      <c r="E13" s="2" t="s">
        <v>81</v>
      </c>
      <c r="F13" s="2" t="s">
        <v>31</v>
      </c>
      <c r="G13" s="2">
        <v>7.0</v>
      </c>
      <c r="H13" s="2">
        <v>10.0</v>
      </c>
      <c r="I13" s="14" t="str">
        <f t="shared" si="2"/>
        <v>Loss</v>
      </c>
      <c r="J13" s="1"/>
      <c r="K13" s="1"/>
      <c r="L13" s="1"/>
      <c r="M13" s="1"/>
      <c r="N13" s="1"/>
    </row>
    <row r="14">
      <c r="A14" s="14" t="str">
        <f t="shared" si="1"/>
        <v>MD-10</v>
      </c>
      <c r="B14" s="10" t="s">
        <v>81</v>
      </c>
      <c r="C14" s="15">
        <v>46090.0</v>
      </c>
      <c r="D14" s="2" t="s">
        <v>28</v>
      </c>
      <c r="E14" s="2" t="s">
        <v>77</v>
      </c>
      <c r="F14" s="2" t="s">
        <v>31</v>
      </c>
      <c r="G14" s="2">
        <v>10.0</v>
      </c>
      <c r="H14" s="2">
        <v>8.0</v>
      </c>
      <c r="I14" s="14" t="str">
        <f t="shared" si="2"/>
        <v>Win</v>
      </c>
      <c r="J14" s="1"/>
      <c r="K14" s="1"/>
      <c r="L14" s="1"/>
      <c r="M14" s="1"/>
      <c r="N14" s="1"/>
    </row>
    <row r="15">
      <c r="A15" s="14" t="str">
        <f t="shared" si="1"/>
        <v>MD-11</v>
      </c>
      <c r="B15" s="10" t="s">
        <v>81</v>
      </c>
      <c r="C15" s="15">
        <v>46090.0</v>
      </c>
      <c r="D15" s="2" t="s">
        <v>28</v>
      </c>
      <c r="E15" s="2" t="s">
        <v>77</v>
      </c>
      <c r="F15" s="2" t="s">
        <v>31</v>
      </c>
      <c r="G15" s="2">
        <v>10.0</v>
      </c>
      <c r="H15" s="2">
        <v>7.0</v>
      </c>
      <c r="I15" s="14" t="str">
        <f t="shared" si="2"/>
        <v>Win</v>
      </c>
      <c r="J15" s="1"/>
      <c r="K15" s="1"/>
      <c r="L15" s="1"/>
      <c r="M15" s="1"/>
      <c r="N15" s="1"/>
    </row>
    <row r="16">
      <c r="A16" s="14" t="str">
        <f t="shared" si="1"/>
        <v>MD-12</v>
      </c>
      <c r="B16" s="10" t="s">
        <v>62</v>
      </c>
      <c r="C16" s="15">
        <v>46090.0</v>
      </c>
      <c r="D16" s="2" t="s">
        <v>28</v>
      </c>
      <c r="E16" s="2" t="s">
        <v>70</v>
      </c>
      <c r="F16" s="2" t="s">
        <v>31</v>
      </c>
      <c r="G16" s="2">
        <v>11.0</v>
      </c>
      <c r="H16" s="2">
        <v>12.0</v>
      </c>
      <c r="I16" s="14" t="str">
        <f t="shared" si="2"/>
        <v>Loss</v>
      </c>
      <c r="J16" s="1"/>
      <c r="K16" s="1"/>
      <c r="L16" s="1"/>
      <c r="M16" s="1"/>
      <c r="N16" s="1"/>
    </row>
    <row r="17">
      <c r="A17" s="14" t="str">
        <f t="shared" si="1"/>
        <v>MD-13</v>
      </c>
      <c r="B17" s="10" t="s">
        <v>70</v>
      </c>
      <c r="C17" s="15">
        <v>46090.0</v>
      </c>
      <c r="D17" s="2" t="s">
        <v>28</v>
      </c>
      <c r="E17" s="2" t="s">
        <v>62</v>
      </c>
      <c r="F17" s="2" t="s">
        <v>31</v>
      </c>
      <c r="G17" s="2">
        <v>12.0</v>
      </c>
      <c r="H17" s="2">
        <v>11.0</v>
      </c>
      <c r="I17" s="14" t="str">
        <f t="shared" si="2"/>
        <v>Win</v>
      </c>
      <c r="J17" s="1"/>
      <c r="K17" s="1"/>
      <c r="L17" s="1"/>
      <c r="M17" s="1"/>
      <c r="N17" s="1"/>
    </row>
    <row r="18">
      <c r="A18" s="14" t="str">
        <f t="shared" si="1"/>
        <v>MD-14</v>
      </c>
      <c r="B18" s="10" t="s">
        <v>81</v>
      </c>
      <c r="C18" s="15">
        <v>46090.0</v>
      </c>
      <c r="D18" s="2" t="s">
        <v>28</v>
      </c>
      <c r="E18" s="2" t="s">
        <v>70</v>
      </c>
      <c r="F18" s="2" t="s">
        <v>31</v>
      </c>
      <c r="G18" s="2">
        <v>8.0</v>
      </c>
      <c r="H18" s="2">
        <v>10.0</v>
      </c>
      <c r="I18" s="14" t="str">
        <f t="shared" si="2"/>
        <v>Loss</v>
      </c>
      <c r="J18" s="1"/>
      <c r="K18" s="1"/>
      <c r="L18" s="1"/>
      <c r="M18" s="1"/>
      <c r="N18" s="1"/>
    </row>
    <row r="19">
      <c r="A19" s="14" t="str">
        <f t="shared" si="1"/>
        <v>MD-15</v>
      </c>
      <c r="B19" s="10" t="s">
        <v>70</v>
      </c>
      <c r="C19" s="15">
        <v>46090.0</v>
      </c>
      <c r="D19" s="2" t="s">
        <v>28</v>
      </c>
      <c r="E19" s="2" t="s">
        <v>81</v>
      </c>
      <c r="F19" s="2" t="s">
        <v>31</v>
      </c>
      <c r="G19" s="2">
        <v>10.0</v>
      </c>
      <c r="H19" s="2">
        <v>8.0</v>
      </c>
      <c r="I19" s="14" t="str">
        <f t="shared" si="2"/>
        <v>Win</v>
      </c>
      <c r="J19" s="1"/>
      <c r="K19" s="1"/>
      <c r="L19" s="1"/>
      <c r="M19" s="1"/>
      <c r="N19" s="1"/>
    </row>
    <row r="20">
      <c r="A20" s="14" t="str">
        <f t="shared" si="1"/>
        <v>MD-16</v>
      </c>
      <c r="B20" s="10" t="s">
        <v>62</v>
      </c>
      <c r="C20" s="15">
        <v>46090.0</v>
      </c>
      <c r="D20" s="2" t="s">
        <v>28</v>
      </c>
      <c r="E20" s="2" t="s">
        <v>85</v>
      </c>
      <c r="F20" s="2" t="s">
        <v>31</v>
      </c>
      <c r="G20" s="2">
        <v>10.0</v>
      </c>
      <c r="H20" s="2">
        <v>8.0</v>
      </c>
      <c r="I20" s="14" t="str">
        <f t="shared" si="2"/>
        <v>Win</v>
      </c>
      <c r="J20" s="1"/>
      <c r="K20" s="1"/>
      <c r="L20" s="1"/>
      <c r="M20" s="1"/>
      <c r="N20" s="1"/>
    </row>
    <row r="21" ht="15.75" customHeight="1">
      <c r="A21" s="14" t="str">
        <f t="shared" si="1"/>
        <v>MD-17</v>
      </c>
      <c r="B21" s="10" t="s">
        <v>62</v>
      </c>
      <c r="C21" s="15">
        <v>46090.0</v>
      </c>
      <c r="D21" s="2" t="s">
        <v>28</v>
      </c>
      <c r="E21" s="2" t="s">
        <v>85</v>
      </c>
      <c r="F21" s="2" t="s">
        <v>31</v>
      </c>
      <c r="G21" s="2">
        <v>10.0</v>
      </c>
      <c r="H21" s="2">
        <v>6.0</v>
      </c>
      <c r="I21" s="14" t="str">
        <f t="shared" si="2"/>
        <v>Win</v>
      </c>
      <c r="J21" s="1"/>
      <c r="K21" s="1"/>
      <c r="L21" s="1"/>
      <c r="M21" s="1"/>
      <c r="N21" s="1"/>
    </row>
    <row r="22" ht="15.75" customHeight="1">
      <c r="A22" s="14" t="str">
        <f t="shared" si="1"/>
        <v>MD-18</v>
      </c>
      <c r="B22" s="10" t="s">
        <v>85</v>
      </c>
      <c r="C22" s="15">
        <v>46090.0</v>
      </c>
      <c r="D22" s="2" t="s">
        <v>28</v>
      </c>
      <c r="E22" s="2" t="s">
        <v>62</v>
      </c>
      <c r="F22" s="2" t="s">
        <v>31</v>
      </c>
      <c r="G22" s="2">
        <v>8.0</v>
      </c>
      <c r="H22" s="2">
        <v>10.0</v>
      </c>
      <c r="I22" s="14" t="str">
        <f t="shared" si="2"/>
        <v>Loss</v>
      </c>
      <c r="J22" s="1"/>
      <c r="K22" s="1"/>
      <c r="L22" s="1"/>
      <c r="M22" s="1"/>
      <c r="N22" s="1"/>
    </row>
    <row r="23" ht="15.75" customHeight="1">
      <c r="A23" s="14" t="str">
        <f t="shared" si="1"/>
        <v>MD-19</v>
      </c>
      <c r="B23" s="10" t="s">
        <v>85</v>
      </c>
      <c r="C23" s="15">
        <v>46090.0</v>
      </c>
      <c r="D23" s="2" t="s">
        <v>28</v>
      </c>
      <c r="E23" s="2" t="s">
        <v>62</v>
      </c>
      <c r="F23" s="2" t="s">
        <v>31</v>
      </c>
      <c r="G23" s="2">
        <v>6.0</v>
      </c>
      <c r="H23" s="2">
        <v>10.0</v>
      </c>
      <c r="I23" s="14" t="str">
        <f t="shared" si="2"/>
        <v>Loss</v>
      </c>
      <c r="J23" s="1"/>
      <c r="K23" s="1"/>
      <c r="L23" s="1"/>
      <c r="M23" s="1"/>
      <c r="N23" s="1"/>
    </row>
    <row r="24" ht="15.75" customHeight="1">
      <c r="A24" s="14" t="str">
        <f t="shared" si="1"/>
        <v>MD-20</v>
      </c>
      <c r="B24" s="10" t="s">
        <v>62</v>
      </c>
      <c r="C24" s="15">
        <v>46091.0</v>
      </c>
      <c r="D24" s="2" t="s">
        <v>28</v>
      </c>
      <c r="E24" s="2" t="s">
        <v>81</v>
      </c>
      <c r="F24" s="2" t="s">
        <v>36</v>
      </c>
      <c r="G24" s="2">
        <v>4.0</v>
      </c>
      <c r="H24" s="2">
        <v>6.0</v>
      </c>
      <c r="I24" s="14" t="str">
        <f t="shared" si="2"/>
        <v>Loss</v>
      </c>
      <c r="J24" s="2">
        <v>4.0</v>
      </c>
      <c r="K24" s="2">
        <v>3.0</v>
      </c>
      <c r="L24" s="2">
        <v>3.0</v>
      </c>
      <c r="M24" s="2">
        <v>4.0</v>
      </c>
      <c r="N24" s="1"/>
    </row>
    <row r="25" ht="15.75" customHeight="1">
      <c r="A25" s="14" t="str">
        <f t="shared" si="1"/>
        <v>MD-21</v>
      </c>
      <c r="B25" s="10" t="s">
        <v>81</v>
      </c>
      <c r="C25" s="15">
        <v>46091.0</v>
      </c>
      <c r="D25" s="2" t="s">
        <v>28</v>
      </c>
      <c r="E25" s="2" t="s">
        <v>81</v>
      </c>
      <c r="F25" s="2" t="s">
        <v>36</v>
      </c>
      <c r="G25" s="2">
        <v>6.0</v>
      </c>
      <c r="H25" s="2">
        <v>4.0</v>
      </c>
      <c r="I25" s="14" t="str">
        <f t="shared" si="2"/>
        <v>Win</v>
      </c>
      <c r="J25" s="2">
        <v>3.0</v>
      </c>
      <c r="K25" s="2">
        <v>3.0</v>
      </c>
      <c r="L25" s="2">
        <v>3.0</v>
      </c>
      <c r="M25" s="2">
        <v>3.0</v>
      </c>
      <c r="N25" s="1"/>
    </row>
    <row r="26" ht="15.75" customHeight="1">
      <c r="A26" s="14" t="str">
        <f t="shared" si="1"/>
        <v>MD-22</v>
      </c>
      <c r="B26" s="10" t="s">
        <v>81</v>
      </c>
      <c r="C26" s="15">
        <v>46091.0</v>
      </c>
      <c r="D26" s="2" t="s">
        <v>28</v>
      </c>
      <c r="E26" s="2" t="s">
        <v>70</v>
      </c>
      <c r="F26" s="2" t="s">
        <v>36</v>
      </c>
      <c r="G26" s="2">
        <v>3.0</v>
      </c>
      <c r="H26" s="2">
        <v>4.0</v>
      </c>
      <c r="I26" s="14" t="str">
        <f t="shared" si="2"/>
        <v>Loss</v>
      </c>
      <c r="J26" s="2">
        <v>3.0</v>
      </c>
      <c r="K26" s="2">
        <v>2.0</v>
      </c>
      <c r="L26" s="2">
        <v>4.0</v>
      </c>
      <c r="M26" s="2">
        <v>2.0</v>
      </c>
      <c r="N26" s="1"/>
    </row>
    <row r="27" ht="15.75" customHeight="1">
      <c r="A27" s="14" t="str">
        <f t="shared" si="1"/>
        <v>MD-23</v>
      </c>
      <c r="B27" s="10" t="s">
        <v>70</v>
      </c>
      <c r="C27" s="15">
        <v>46091.0</v>
      </c>
      <c r="D27" s="2" t="s">
        <v>28</v>
      </c>
      <c r="E27" s="2" t="s">
        <v>81</v>
      </c>
      <c r="F27" s="2" t="s">
        <v>36</v>
      </c>
      <c r="G27" s="2">
        <v>4.0</v>
      </c>
      <c r="H27" s="2">
        <v>3.0</v>
      </c>
      <c r="I27" s="14" t="str">
        <f t="shared" si="2"/>
        <v>Win</v>
      </c>
      <c r="J27" s="2">
        <v>3.0</v>
      </c>
      <c r="K27" s="2">
        <v>2.0</v>
      </c>
      <c r="L27" s="2">
        <v>3.0</v>
      </c>
      <c r="M27" s="2">
        <v>2.0</v>
      </c>
      <c r="N27" s="1"/>
    </row>
    <row r="28" ht="15.75" customHeight="1">
      <c r="A28" s="14" t="str">
        <f t="shared" si="1"/>
        <v/>
      </c>
      <c r="B28" s="10"/>
      <c r="C28" s="15"/>
      <c r="D28" s="1"/>
      <c r="E28" s="1"/>
      <c r="F28" s="1"/>
      <c r="I28" s="14" t="str">
        <f t="shared" si="2"/>
        <v/>
      </c>
      <c r="J28" s="1"/>
      <c r="K28" s="1"/>
      <c r="L28" s="1"/>
      <c r="M28" s="1"/>
      <c r="N28" s="1"/>
    </row>
    <row r="29" ht="15.75" customHeight="1">
      <c r="A29" s="14" t="str">
        <f t="shared" si="1"/>
        <v/>
      </c>
      <c r="B29" s="10"/>
      <c r="C29" s="15"/>
      <c r="D29" s="1"/>
      <c r="E29" s="1"/>
      <c r="F29" s="1"/>
      <c r="I29" s="14" t="str">
        <f t="shared" si="2"/>
        <v/>
      </c>
      <c r="J29" s="1"/>
      <c r="K29" s="1"/>
      <c r="L29" s="1"/>
      <c r="M29" s="1"/>
      <c r="N29" s="1"/>
    </row>
    <row r="30" ht="15.75" customHeight="1">
      <c r="A30" s="14" t="str">
        <f t="shared" si="1"/>
        <v/>
      </c>
      <c r="B30" s="10"/>
      <c r="C30" s="15"/>
      <c r="D30" s="1"/>
      <c r="E30" s="1"/>
      <c r="F30" s="1"/>
      <c r="I30" s="14" t="str">
        <f t="shared" si="2"/>
        <v/>
      </c>
      <c r="J30" s="1"/>
      <c r="K30" s="1"/>
      <c r="L30" s="1"/>
      <c r="M30" s="1"/>
      <c r="N30" s="1"/>
    </row>
    <row r="31" ht="15.75" customHeight="1">
      <c r="A31" s="14" t="str">
        <f t="shared" si="1"/>
        <v/>
      </c>
      <c r="B31" s="10"/>
      <c r="C31" s="15"/>
      <c r="D31" s="1"/>
      <c r="E31" s="1"/>
      <c r="F31" s="1"/>
      <c r="I31" s="14" t="str">
        <f t="shared" si="2"/>
        <v/>
      </c>
      <c r="J31" s="1"/>
      <c r="K31" s="1"/>
      <c r="L31" s="1"/>
      <c r="M31" s="1"/>
      <c r="N31" s="1"/>
    </row>
    <row r="32" ht="15.75" customHeight="1">
      <c r="A32" s="14" t="str">
        <f t="shared" si="1"/>
        <v/>
      </c>
      <c r="B32" s="10"/>
      <c r="C32" s="15"/>
      <c r="D32" s="1"/>
      <c r="E32" s="1"/>
      <c r="F32" s="1"/>
      <c r="I32" s="14" t="str">
        <f t="shared" si="2"/>
        <v/>
      </c>
      <c r="J32" s="1"/>
      <c r="K32" s="1"/>
      <c r="L32" s="1"/>
      <c r="M32" s="1"/>
      <c r="N32" s="1"/>
    </row>
    <row r="33" ht="15.75" customHeight="1">
      <c r="A33" s="14" t="str">
        <f t="shared" si="1"/>
        <v/>
      </c>
      <c r="B33" s="10"/>
      <c r="D33" s="1"/>
      <c r="E33" s="1"/>
      <c r="F33" s="1"/>
      <c r="I33" s="14" t="str">
        <f t="shared" si="2"/>
        <v/>
      </c>
      <c r="J33" s="1"/>
      <c r="K33" s="1"/>
      <c r="L33" s="1"/>
      <c r="M33" s="1"/>
      <c r="N33" s="1"/>
    </row>
    <row r="34" ht="15.75" customHeight="1">
      <c r="A34" s="14" t="str">
        <f t="shared" si="1"/>
        <v/>
      </c>
      <c r="B34" s="10"/>
      <c r="D34" s="1"/>
      <c r="E34" s="1"/>
      <c r="F34" s="1"/>
      <c r="I34" s="14" t="str">
        <f t="shared" si="2"/>
        <v/>
      </c>
      <c r="J34" s="1"/>
      <c r="K34" s="1"/>
      <c r="L34" s="1"/>
      <c r="M34" s="1"/>
      <c r="N34" s="1"/>
    </row>
    <row r="35" ht="15.75" customHeight="1">
      <c r="A35" s="14" t="str">
        <f t="shared" si="1"/>
        <v/>
      </c>
      <c r="B35" s="10"/>
      <c r="D35" s="1"/>
      <c r="E35" s="1"/>
      <c r="F35" s="1"/>
      <c r="I35" s="14" t="str">
        <f t="shared" si="2"/>
        <v/>
      </c>
      <c r="J35" s="1"/>
      <c r="K35" s="1"/>
      <c r="L35" s="1"/>
      <c r="M35" s="1"/>
      <c r="N35" s="1"/>
    </row>
    <row r="36" ht="15.75" customHeight="1">
      <c r="A36" s="14" t="str">
        <f t="shared" si="1"/>
        <v/>
      </c>
      <c r="B36" s="10"/>
      <c r="D36" s="1"/>
      <c r="E36" s="1"/>
      <c r="F36" s="1"/>
      <c r="I36" s="14" t="str">
        <f t="shared" si="2"/>
        <v/>
      </c>
      <c r="J36" s="1"/>
      <c r="K36" s="1"/>
      <c r="L36" s="1"/>
      <c r="M36" s="1"/>
      <c r="N36" s="1"/>
    </row>
    <row r="37" ht="15.75" customHeight="1">
      <c r="A37" s="14" t="str">
        <f t="shared" si="1"/>
        <v/>
      </c>
      <c r="B37" s="10"/>
      <c r="D37" s="1"/>
      <c r="E37" s="1"/>
      <c r="F37" s="1"/>
      <c r="I37" s="14" t="str">
        <f t="shared" si="2"/>
        <v/>
      </c>
      <c r="J37" s="1"/>
      <c r="K37" s="1"/>
      <c r="L37" s="1"/>
      <c r="M37" s="1"/>
      <c r="N37" s="1"/>
    </row>
    <row r="38" ht="15.75" customHeight="1">
      <c r="A38" s="14" t="str">
        <f t="shared" si="1"/>
        <v/>
      </c>
      <c r="B38" s="10"/>
      <c r="D38" s="1"/>
      <c r="E38" s="1"/>
      <c r="F38" s="1"/>
      <c r="I38" s="14" t="str">
        <f t="shared" si="2"/>
        <v/>
      </c>
      <c r="J38" s="1"/>
      <c r="K38" s="1"/>
      <c r="L38" s="1"/>
      <c r="M38" s="1"/>
      <c r="N38" s="1"/>
    </row>
    <row r="39" ht="15.75" customHeight="1">
      <c r="A39" s="14" t="str">
        <f t="shared" si="1"/>
        <v/>
      </c>
      <c r="B39" s="10"/>
      <c r="D39" s="1"/>
      <c r="E39" s="1"/>
      <c r="F39" s="1"/>
      <c r="I39" s="14" t="str">
        <f t="shared" si="2"/>
        <v/>
      </c>
      <c r="J39" s="1"/>
      <c r="K39" s="1"/>
      <c r="L39" s="1"/>
      <c r="M39" s="1"/>
      <c r="N39" s="1"/>
    </row>
    <row r="40" ht="15.75" customHeight="1">
      <c r="A40" s="14" t="str">
        <f t="shared" si="1"/>
        <v/>
      </c>
      <c r="B40" s="9"/>
      <c r="D40" s="1"/>
      <c r="E40" s="1"/>
      <c r="F40" s="1"/>
      <c r="I40" s="14" t="str">
        <f t="shared" si="2"/>
        <v/>
      </c>
      <c r="J40" s="1"/>
      <c r="K40" s="1"/>
      <c r="L40" s="1"/>
      <c r="M40" s="1"/>
      <c r="N40" s="1"/>
    </row>
    <row r="41" ht="15.75" customHeight="1">
      <c r="A41" s="14" t="str">
        <f t="shared" si="1"/>
        <v/>
      </c>
      <c r="B41" s="9"/>
      <c r="D41" s="1"/>
      <c r="E41" s="1"/>
      <c r="F41" s="1"/>
      <c r="I41" s="14" t="str">
        <f t="shared" si="2"/>
        <v/>
      </c>
      <c r="J41" s="1"/>
      <c r="K41" s="1"/>
      <c r="L41" s="1"/>
      <c r="M41" s="1"/>
      <c r="N41" s="1"/>
    </row>
    <row r="42" ht="15.75" customHeight="1">
      <c r="A42" s="14" t="str">
        <f t="shared" si="1"/>
        <v/>
      </c>
      <c r="B42" s="9"/>
      <c r="D42" s="1"/>
      <c r="E42" s="1"/>
      <c r="F42" s="1"/>
      <c r="I42" s="14" t="str">
        <f t="shared" si="2"/>
        <v/>
      </c>
      <c r="J42" s="1"/>
      <c r="K42" s="1"/>
      <c r="L42" s="1"/>
      <c r="M42" s="1"/>
      <c r="N42" s="1"/>
    </row>
    <row r="43" ht="15.75" customHeight="1">
      <c r="A43" s="14" t="str">
        <f t="shared" si="1"/>
        <v/>
      </c>
      <c r="B43" s="9"/>
      <c r="D43" s="1"/>
      <c r="E43" s="1"/>
      <c r="F43" s="1"/>
      <c r="I43" s="14" t="str">
        <f t="shared" si="2"/>
        <v/>
      </c>
      <c r="J43" s="1"/>
      <c r="K43" s="1"/>
      <c r="L43" s="1"/>
      <c r="M43" s="1"/>
      <c r="N43" s="1"/>
    </row>
    <row r="44" ht="15.75" customHeight="1">
      <c r="A44" s="14" t="str">
        <f t="shared" si="1"/>
        <v/>
      </c>
      <c r="B44" s="9"/>
      <c r="D44" s="1"/>
      <c r="E44" s="1"/>
      <c r="F44" s="1"/>
      <c r="I44" s="14" t="str">
        <f t="shared" si="2"/>
        <v/>
      </c>
      <c r="J44" s="1"/>
      <c r="K44" s="1"/>
      <c r="L44" s="1"/>
      <c r="M44" s="1"/>
      <c r="N44" s="1"/>
    </row>
    <row r="45" ht="15.75" customHeight="1">
      <c r="A45" s="14" t="str">
        <f t="shared" si="1"/>
        <v/>
      </c>
      <c r="B45" s="9"/>
      <c r="D45" s="1"/>
      <c r="E45" s="1"/>
      <c r="F45" s="1"/>
      <c r="I45" s="14" t="str">
        <f t="shared" si="2"/>
        <v/>
      </c>
      <c r="J45" s="1"/>
      <c r="K45" s="1"/>
      <c r="L45" s="1"/>
      <c r="M45" s="1"/>
      <c r="N45" s="1"/>
    </row>
    <row r="46" ht="15.75" customHeight="1">
      <c r="A46" s="14" t="str">
        <f t="shared" si="1"/>
        <v/>
      </c>
      <c r="B46" s="9"/>
      <c r="D46" s="1"/>
      <c r="E46" s="1"/>
      <c r="F46" s="1"/>
      <c r="I46" s="14" t="str">
        <f t="shared" si="2"/>
        <v/>
      </c>
      <c r="J46" s="1"/>
      <c r="K46" s="1"/>
      <c r="L46" s="1"/>
      <c r="M46" s="1"/>
      <c r="N46" s="1"/>
    </row>
    <row r="47" ht="15.75" customHeight="1">
      <c r="A47" s="14" t="str">
        <f t="shared" si="1"/>
        <v/>
      </c>
      <c r="B47" s="9"/>
      <c r="D47" s="1"/>
      <c r="E47" s="1"/>
      <c r="F47" s="1"/>
      <c r="I47" s="14" t="str">
        <f t="shared" si="2"/>
        <v/>
      </c>
      <c r="J47" s="1"/>
      <c r="K47" s="1"/>
      <c r="L47" s="1"/>
      <c r="M47" s="1"/>
      <c r="N47" s="1"/>
    </row>
    <row r="48" ht="15.75" customHeight="1">
      <c r="A48" s="14" t="str">
        <f t="shared" si="1"/>
        <v/>
      </c>
      <c r="B48" s="9"/>
      <c r="D48" s="1"/>
      <c r="E48" s="1"/>
      <c r="F48" s="1"/>
      <c r="I48" s="14" t="str">
        <f t="shared" si="2"/>
        <v/>
      </c>
      <c r="J48" s="1"/>
      <c r="K48" s="1"/>
      <c r="L48" s="1"/>
      <c r="M48" s="1"/>
      <c r="N48" s="1"/>
    </row>
    <row r="49" ht="15.75" customHeight="1">
      <c r="A49" s="14" t="str">
        <f t="shared" si="1"/>
        <v/>
      </c>
      <c r="B49" s="9"/>
      <c r="D49" s="1"/>
      <c r="E49" s="1"/>
      <c r="F49" s="1"/>
      <c r="I49" s="14" t="str">
        <f t="shared" si="2"/>
        <v/>
      </c>
      <c r="J49" s="1"/>
      <c r="K49" s="1"/>
      <c r="L49" s="1"/>
      <c r="M49" s="1"/>
      <c r="N49" s="1"/>
    </row>
    <row r="50" ht="15.75" customHeight="1">
      <c r="A50" s="14" t="str">
        <f t="shared" si="1"/>
        <v/>
      </c>
      <c r="B50" s="9"/>
      <c r="D50" s="1"/>
      <c r="E50" s="1"/>
      <c r="F50" s="1"/>
      <c r="I50" s="14" t="str">
        <f t="shared" si="2"/>
        <v/>
      </c>
      <c r="J50" s="1"/>
      <c r="K50" s="1"/>
      <c r="L50" s="1"/>
      <c r="M50" s="1"/>
      <c r="N50" s="1"/>
    </row>
    <row r="51" ht="15.75" customHeight="1">
      <c r="A51" s="14" t="str">
        <f t="shared" si="1"/>
        <v/>
      </c>
      <c r="B51" s="9"/>
      <c r="D51" s="1"/>
      <c r="E51" s="1"/>
      <c r="F51" s="1"/>
      <c r="I51" s="14" t="str">
        <f t="shared" si="2"/>
        <v/>
      </c>
      <c r="J51" s="1"/>
      <c r="K51" s="1"/>
      <c r="L51" s="1"/>
      <c r="M51" s="1"/>
      <c r="N51" s="1"/>
    </row>
    <row r="52" ht="15.75" customHeight="1">
      <c r="A52" s="14" t="str">
        <f t="shared" si="1"/>
        <v/>
      </c>
      <c r="B52" s="9"/>
      <c r="D52" s="1"/>
      <c r="E52" s="1"/>
      <c r="F52" s="1"/>
      <c r="I52" s="14" t="str">
        <f t="shared" si="2"/>
        <v/>
      </c>
      <c r="J52" s="1"/>
      <c r="K52" s="1"/>
      <c r="L52" s="1"/>
      <c r="M52" s="1"/>
      <c r="N52" s="1"/>
    </row>
    <row r="53" ht="15.75" customHeight="1">
      <c r="A53" s="14" t="str">
        <f t="shared" si="1"/>
        <v/>
      </c>
      <c r="B53" s="9"/>
      <c r="D53" s="1"/>
      <c r="E53" s="1"/>
      <c r="F53" s="1"/>
      <c r="I53" s="14" t="str">
        <f t="shared" si="2"/>
        <v/>
      </c>
      <c r="J53" s="1"/>
      <c r="K53" s="1"/>
      <c r="L53" s="1"/>
      <c r="M53" s="1"/>
      <c r="N53" s="1"/>
    </row>
    <row r="54" ht="15.75" customHeight="1">
      <c r="A54" s="14" t="str">
        <f t="shared" si="1"/>
        <v/>
      </c>
      <c r="B54" s="1"/>
      <c r="D54" s="1"/>
      <c r="E54" s="1"/>
      <c r="F54" s="1"/>
      <c r="I54" s="14" t="str">
        <f t="shared" si="2"/>
        <v/>
      </c>
      <c r="J54" s="1"/>
      <c r="K54" s="1"/>
      <c r="L54" s="1"/>
      <c r="M54" s="1"/>
      <c r="N54" s="1"/>
    </row>
    <row r="55" ht="15.75" customHeight="1">
      <c r="A55" s="14" t="str">
        <f t="shared" si="1"/>
        <v/>
      </c>
      <c r="B55" s="1"/>
      <c r="D55" s="1"/>
      <c r="E55" s="1"/>
      <c r="F55" s="1"/>
      <c r="I55" s="14" t="str">
        <f t="shared" si="2"/>
        <v/>
      </c>
      <c r="J55" s="1"/>
      <c r="K55" s="1"/>
      <c r="L55" s="1"/>
      <c r="M55" s="1"/>
      <c r="N55" s="1"/>
    </row>
    <row r="56" ht="15.75" customHeight="1">
      <c r="A56" s="14" t="str">
        <f t="shared" si="1"/>
        <v/>
      </c>
      <c r="B56" s="1"/>
      <c r="D56" s="1"/>
      <c r="E56" s="1"/>
      <c r="F56" s="1"/>
      <c r="I56" s="14" t="str">
        <f t="shared" si="2"/>
        <v/>
      </c>
      <c r="J56" s="1"/>
      <c r="K56" s="1"/>
      <c r="L56" s="1"/>
      <c r="M56" s="1"/>
      <c r="N56" s="1"/>
    </row>
    <row r="57" ht="15.75" customHeight="1">
      <c r="A57" s="14" t="str">
        <f t="shared" si="1"/>
        <v/>
      </c>
      <c r="B57" s="1"/>
      <c r="D57" s="1"/>
      <c r="E57" s="1"/>
      <c r="F57" s="1"/>
      <c r="I57" s="14" t="str">
        <f t="shared" si="2"/>
        <v/>
      </c>
      <c r="J57" s="1"/>
      <c r="K57" s="1"/>
      <c r="L57" s="1"/>
      <c r="M57" s="1"/>
      <c r="N57" s="1"/>
    </row>
    <row r="58" ht="15.75" customHeight="1">
      <c r="A58" s="14" t="str">
        <f t="shared" si="1"/>
        <v/>
      </c>
      <c r="B58" s="1"/>
      <c r="D58" s="1"/>
      <c r="E58" s="1"/>
      <c r="F58" s="1"/>
      <c r="I58" s="14" t="str">
        <f t="shared" si="2"/>
        <v/>
      </c>
      <c r="J58" s="1"/>
      <c r="K58" s="1"/>
      <c r="L58" s="1"/>
      <c r="M58" s="1"/>
      <c r="N58" s="1"/>
    </row>
    <row r="59" ht="15.75" customHeight="1">
      <c r="A59" s="14" t="str">
        <f t="shared" si="1"/>
        <v/>
      </c>
      <c r="B59" s="1"/>
      <c r="D59" s="1"/>
      <c r="E59" s="1"/>
      <c r="F59" s="1"/>
      <c r="I59" s="14" t="str">
        <f t="shared" si="2"/>
        <v/>
      </c>
      <c r="J59" s="1"/>
      <c r="K59" s="1"/>
      <c r="L59" s="1"/>
      <c r="M59" s="1"/>
      <c r="N59" s="1"/>
    </row>
    <row r="60" ht="15.75" customHeight="1">
      <c r="A60" s="14" t="str">
        <f t="shared" si="1"/>
        <v/>
      </c>
      <c r="B60" s="1"/>
      <c r="D60" s="1"/>
      <c r="E60" s="1"/>
      <c r="F60" s="1"/>
      <c r="I60" s="14" t="str">
        <f t="shared" si="2"/>
        <v/>
      </c>
      <c r="J60" s="1"/>
      <c r="K60" s="1"/>
      <c r="L60" s="1"/>
      <c r="M60" s="1"/>
      <c r="N60" s="1"/>
    </row>
    <row r="61" ht="15.75" customHeight="1">
      <c r="A61" s="14" t="str">
        <f t="shared" si="1"/>
        <v/>
      </c>
      <c r="B61" s="1"/>
      <c r="D61" s="1"/>
      <c r="E61" s="1"/>
      <c r="F61" s="1"/>
      <c r="I61" s="14" t="str">
        <f t="shared" si="2"/>
        <v/>
      </c>
      <c r="J61" s="1"/>
      <c r="K61" s="1"/>
      <c r="L61" s="1"/>
      <c r="M61" s="1"/>
      <c r="N61" s="1"/>
    </row>
    <row r="62" ht="15.75" customHeight="1">
      <c r="A62" s="14" t="str">
        <f t="shared" si="1"/>
        <v/>
      </c>
      <c r="B62" s="1"/>
      <c r="D62" s="1"/>
      <c r="E62" s="1"/>
      <c r="F62" s="1"/>
      <c r="J62" s="1"/>
      <c r="K62" s="1"/>
      <c r="L62" s="1"/>
      <c r="M62" s="1"/>
      <c r="N62" s="1"/>
    </row>
    <row r="63" ht="15.75" customHeight="1">
      <c r="A63" s="14" t="str">
        <f t="shared" si="1"/>
        <v/>
      </c>
      <c r="B63" s="1"/>
      <c r="D63" s="1"/>
      <c r="E63" s="1"/>
      <c r="F63" s="1"/>
      <c r="J63" s="1"/>
      <c r="K63" s="1"/>
      <c r="L63" s="1"/>
      <c r="M63" s="1"/>
      <c r="N63" s="1"/>
    </row>
    <row r="64" ht="15.75" customHeight="1">
      <c r="A64" s="14" t="str">
        <f t="shared" si="1"/>
        <v/>
      </c>
      <c r="B64" s="1"/>
      <c r="D64" s="1"/>
      <c r="E64" s="1"/>
      <c r="F64" s="1"/>
      <c r="J64" s="1"/>
      <c r="K64" s="1"/>
      <c r="L64" s="1"/>
      <c r="M64" s="1"/>
      <c r="N64" s="1"/>
    </row>
    <row r="65" ht="15.75" customHeight="1">
      <c r="A65" s="14" t="str">
        <f t="shared" si="1"/>
        <v/>
      </c>
      <c r="B65" s="1"/>
      <c r="D65" s="1"/>
      <c r="E65" s="1"/>
      <c r="F65" s="1"/>
      <c r="J65" s="1"/>
      <c r="K65" s="1"/>
      <c r="L65" s="1"/>
      <c r="M65" s="1"/>
      <c r="N65" s="1"/>
    </row>
    <row r="66" ht="15.75" customHeight="1">
      <c r="A66" s="14" t="str">
        <f t="shared" si="1"/>
        <v/>
      </c>
      <c r="B66" s="1"/>
      <c r="D66" s="1"/>
      <c r="E66" s="1"/>
      <c r="F66" s="1"/>
      <c r="J66" s="1"/>
      <c r="K66" s="1"/>
      <c r="L66" s="1"/>
      <c r="M66" s="1"/>
      <c r="N66" s="1"/>
    </row>
    <row r="67" ht="15.75" customHeight="1">
      <c r="A67" s="14" t="str">
        <f t="shared" si="1"/>
        <v/>
      </c>
      <c r="B67" s="1"/>
      <c r="D67" s="1"/>
      <c r="E67" s="1"/>
      <c r="F67" s="1"/>
      <c r="J67" s="1"/>
      <c r="K67" s="1"/>
      <c r="L67" s="1"/>
      <c r="M67" s="1"/>
      <c r="N67" s="1"/>
    </row>
    <row r="68" ht="15.75" customHeight="1">
      <c r="A68" s="14" t="str">
        <f t="shared" si="1"/>
        <v/>
      </c>
      <c r="B68" s="1"/>
      <c r="D68" s="1"/>
      <c r="E68" s="1"/>
      <c r="F68" s="1"/>
      <c r="J68" s="1"/>
      <c r="K68" s="1"/>
      <c r="L68" s="1"/>
      <c r="M68" s="1"/>
      <c r="N68" s="1"/>
    </row>
    <row r="69" ht="15.75" customHeight="1">
      <c r="A69" s="14" t="str">
        <f t="shared" si="1"/>
        <v/>
      </c>
      <c r="B69" s="1"/>
      <c r="D69" s="1"/>
      <c r="E69" s="1"/>
      <c r="F69" s="1"/>
      <c r="J69" s="1"/>
      <c r="K69" s="1"/>
      <c r="L69" s="1"/>
      <c r="M69" s="1"/>
      <c r="N69" s="1"/>
    </row>
    <row r="70" ht="15.75" customHeight="1">
      <c r="A70" s="14" t="str">
        <f t="shared" si="1"/>
        <v/>
      </c>
      <c r="B70" s="1"/>
      <c r="D70" s="1"/>
      <c r="E70" s="1"/>
      <c r="F70" s="1"/>
      <c r="J70" s="1"/>
      <c r="K70" s="1"/>
      <c r="L70" s="1"/>
      <c r="M70" s="1"/>
      <c r="N70" s="1"/>
    </row>
    <row r="71" ht="15.75" customHeight="1">
      <c r="A71" s="14" t="str">
        <f t="shared" si="1"/>
        <v/>
      </c>
      <c r="B71" s="1"/>
      <c r="D71" s="1"/>
      <c r="E71" s="1"/>
      <c r="F71" s="1"/>
      <c r="J71" s="1"/>
      <c r="K71" s="1"/>
      <c r="L71" s="1"/>
      <c r="M71" s="1"/>
      <c r="N71" s="1"/>
    </row>
    <row r="72" ht="15.75" customHeight="1">
      <c r="A72" s="14" t="str">
        <f t="shared" si="1"/>
        <v/>
      </c>
      <c r="B72" s="1"/>
      <c r="D72" s="1"/>
      <c r="E72" s="1"/>
      <c r="F72" s="1"/>
      <c r="J72" s="1"/>
      <c r="K72" s="1"/>
      <c r="L72" s="1"/>
      <c r="M72" s="1"/>
      <c r="N72" s="1"/>
    </row>
    <row r="73" ht="15.75" customHeight="1">
      <c r="A73" s="14" t="str">
        <f t="shared" si="1"/>
        <v/>
      </c>
      <c r="B73" s="1"/>
      <c r="D73" s="1"/>
      <c r="E73" s="1"/>
      <c r="F73" s="1"/>
      <c r="J73" s="1"/>
      <c r="K73" s="1"/>
      <c r="L73" s="1"/>
      <c r="M73" s="1"/>
      <c r="N73" s="1"/>
    </row>
    <row r="74" ht="15.75" customHeight="1">
      <c r="A74" s="14" t="str">
        <f t="shared" si="1"/>
        <v/>
      </c>
      <c r="B74" s="1"/>
      <c r="D74" s="1"/>
      <c r="E74" s="1"/>
      <c r="F74" s="1"/>
      <c r="J74" s="1"/>
      <c r="K74" s="1"/>
      <c r="L74" s="1"/>
      <c r="M74" s="1"/>
      <c r="N74" s="1"/>
    </row>
    <row r="75" ht="15.75" customHeight="1">
      <c r="A75" s="14" t="str">
        <f t="shared" si="1"/>
        <v/>
      </c>
      <c r="B75" s="1"/>
      <c r="D75" s="1"/>
      <c r="E75" s="1"/>
      <c r="F75" s="1"/>
      <c r="J75" s="1"/>
      <c r="K75" s="1"/>
      <c r="L75" s="1"/>
      <c r="M75" s="1"/>
      <c r="N75" s="1"/>
    </row>
    <row r="76" ht="15.75" customHeight="1">
      <c r="A76" s="14" t="str">
        <f t="shared" si="1"/>
        <v/>
      </c>
      <c r="B76" s="1"/>
      <c r="D76" s="1"/>
      <c r="E76" s="1"/>
      <c r="F76" s="1"/>
      <c r="J76" s="1"/>
      <c r="K76" s="1"/>
      <c r="L76" s="1"/>
      <c r="M76" s="1"/>
      <c r="N76" s="1"/>
    </row>
    <row r="77" ht="15.75" customHeight="1">
      <c r="A77" s="14" t="str">
        <f t="shared" si="1"/>
        <v/>
      </c>
      <c r="B77" s="1"/>
      <c r="D77" s="1"/>
      <c r="E77" s="1"/>
      <c r="F77" s="1"/>
      <c r="J77" s="1"/>
      <c r="K77" s="1"/>
      <c r="L77" s="1"/>
      <c r="M77" s="1"/>
      <c r="N77" s="1"/>
    </row>
    <row r="78" ht="15.75" customHeight="1">
      <c r="A78" s="14" t="str">
        <f t="shared" si="1"/>
        <v/>
      </c>
      <c r="B78" s="1"/>
      <c r="D78" s="1"/>
      <c r="E78" s="1"/>
      <c r="F78" s="1"/>
      <c r="J78" s="1"/>
      <c r="K78" s="1"/>
      <c r="L78" s="1"/>
      <c r="M78" s="1"/>
      <c r="N78" s="1"/>
    </row>
    <row r="79" ht="15.75" customHeight="1">
      <c r="A79" s="14" t="str">
        <f t="shared" si="1"/>
        <v/>
      </c>
      <c r="B79" s="1"/>
      <c r="D79" s="1"/>
      <c r="E79" s="1"/>
      <c r="F79" s="1"/>
      <c r="J79" s="1"/>
      <c r="K79" s="1"/>
      <c r="L79" s="1"/>
      <c r="M79" s="1"/>
      <c r="N79" s="1"/>
    </row>
    <row r="80" ht="15.75" customHeight="1">
      <c r="A80" s="14" t="str">
        <f t="shared" si="1"/>
        <v/>
      </c>
      <c r="B80" s="1"/>
      <c r="D80" s="1"/>
      <c r="E80" s="1"/>
      <c r="F80" s="1"/>
      <c r="J80" s="1"/>
      <c r="K80" s="1"/>
      <c r="L80" s="1"/>
      <c r="M80" s="1"/>
      <c r="N80" s="1"/>
    </row>
    <row r="81" ht="15.75" customHeight="1">
      <c r="A81" s="14" t="str">
        <f t="shared" si="1"/>
        <v/>
      </c>
      <c r="B81" s="1"/>
      <c r="D81" s="1"/>
      <c r="E81" s="1"/>
      <c r="F81" s="1"/>
      <c r="J81" s="1"/>
      <c r="K81" s="1"/>
      <c r="L81" s="1"/>
      <c r="M81" s="1"/>
      <c r="N81" s="1"/>
    </row>
    <row r="82" ht="15.75" customHeight="1">
      <c r="A82" s="14" t="str">
        <f t="shared" si="1"/>
        <v/>
      </c>
      <c r="B82" s="1"/>
      <c r="D82" s="1"/>
      <c r="E82" s="1"/>
      <c r="F82" s="1"/>
      <c r="J82" s="1"/>
      <c r="K82" s="1"/>
      <c r="L82" s="1"/>
      <c r="M82" s="1"/>
      <c r="N82" s="1"/>
    </row>
    <row r="83" ht="15.75" customHeight="1">
      <c r="A83" s="14" t="str">
        <f t="shared" si="1"/>
        <v/>
      </c>
      <c r="B83" s="1"/>
      <c r="D83" s="1"/>
      <c r="E83" s="1"/>
      <c r="F83" s="1"/>
      <c r="J83" s="1"/>
      <c r="K83" s="1"/>
      <c r="L83" s="1"/>
      <c r="M83" s="1"/>
      <c r="N83" s="1"/>
    </row>
    <row r="84" ht="15.75" customHeight="1">
      <c r="A84" s="14" t="str">
        <f t="shared" si="1"/>
        <v/>
      </c>
      <c r="B84" s="1"/>
      <c r="D84" s="1"/>
      <c r="E84" s="1"/>
      <c r="F84" s="1"/>
      <c r="J84" s="1"/>
      <c r="K84" s="1"/>
      <c r="L84" s="1"/>
      <c r="M84" s="1"/>
      <c r="N84" s="1"/>
    </row>
    <row r="85" ht="15.75" customHeight="1">
      <c r="A85" s="14" t="str">
        <f t="shared" si="1"/>
        <v/>
      </c>
      <c r="B85" s="1"/>
      <c r="D85" s="1"/>
      <c r="E85" s="1"/>
      <c r="F85" s="1"/>
      <c r="J85" s="1"/>
      <c r="K85" s="1"/>
      <c r="L85" s="1"/>
      <c r="M85" s="1"/>
      <c r="N85" s="1"/>
    </row>
    <row r="86" ht="15.75" customHeight="1">
      <c r="A86" s="14" t="str">
        <f t="shared" si="1"/>
        <v/>
      </c>
      <c r="B86" s="1"/>
      <c r="D86" s="1"/>
      <c r="E86" s="1"/>
      <c r="F86" s="1"/>
      <c r="J86" s="1"/>
      <c r="K86" s="1"/>
      <c r="L86" s="1"/>
      <c r="M86" s="1"/>
      <c r="N86" s="1"/>
    </row>
    <row r="87" ht="15.75" customHeight="1">
      <c r="A87" s="14" t="str">
        <f t="shared" si="1"/>
        <v/>
      </c>
      <c r="B87" s="1"/>
      <c r="D87" s="1"/>
      <c r="E87" s="1"/>
      <c r="F87" s="1"/>
      <c r="J87" s="1"/>
      <c r="K87" s="1"/>
      <c r="L87" s="1"/>
      <c r="M87" s="1"/>
      <c r="N87" s="1"/>
    </row>
    <row r="88" ht="15.75" customHeight="1">
      <c r="A88" s="14" t="str">
        <f t="shared" si="1"/>
        <v/>
      </c>
      <c r="B88" s="1"/>
      <c r="D88" s="1"/>
      <c r="E88" s="1"/>
      <c r="F88" s="1"/>
      <c r="J88" s="1"/>
      <c r="K88" s="1"/>
      <c r="L88" s="1"/>
      <c r="M88" s="1"/>
      <c r="N88" s="1"/>
    </row>
    <row r="89" ht="15.75" customHeight="1">
      <c r="A89" s="14" t="str">
        <f t="shared" si="1"/>
        <v/>
      </c>
      <c r="B89" s="1"/>
      <c r="D89" s="1"/>
      <c r="E89" s="1"/>
      <c r="F89" s="1"/>
      <c r="J89" s="1"/>
      <c r="K89" s="1"/>
      <c r="L89" s="1"/>
      <c r="M89" s="1"/>
      <c r="N89" s="1"/>
    </row>
    <row r="90" ht="15.75" customHeight="1">
      <c r="A90" s="14" t="str">
        <f t="shared" si="1"/>
        <v/>
      </c>
      <c r="B90" s="1"/>
      <c r="D90" s="1"/>
      <c r="E90" s="1"/>
      <c r="F90" s="1"/>
      <c r="J90" s="1"/>
      <c r="K90" s="1"/>
      <c r="L90" s="1"/>
      <c r="M90" s="1"/>
      <c r="N90" s="1"/>
    </row>
    <row r="91" ht="15.75" customHeight="1">
      <c r="A91" s="14" t="str">
        <f t="shared" si="1"/>
        <v/>
      </c>
      <c r="B91" s="1"/>
      <c r="D91" s="1"/>
      <c r="E91" s="1"/>
      <c r="F91" s="1"/>
      <c r="J91" s="1"/>
      <c r="K91" s="1"/>
      <c r="L91" s="1"/>
      <c r="M91" s="1"/>
      <c r="N91" s="1"/>
    </row>
    <row r="92" ht="15.75" customHeight="1">
      <c r="B92" s="1"/>
      <c r="D92" s="1"/>
      <c r="E92" s="1"/>
      <c r="F92" s="1"/>
      <c r="J92" s="1"/>
      <c r="K92" s="1"/>
      <c r="L92" s="1"/>
      <c r="M92" s="1"/>
      <c r="N92" s="1"/>
    </row>
    <row r="93" ht="15.75" customHeight="1">
      <c r="B93" s="1"/>
      <c r="D93" s="1"/>
      <c r="E93" s="1"/>
      <c r="F93" s="1"/>
      <c r="J93" s="1"/>
      <c r="K93" s="1"/>
      <c r="L93" s="1"/>
      <c r="M93" s="1"/>
      <c r="N93" s="1"/>
    </row>
    <row r="94" ht="15.75" customHeight="1">
      <c r="B94" s="1"/>
      <c r="D94" s="1"/>
      <c r="E94" s="1"/>
      <c r="F94" s="1"/>
      <c r="J94" s="1"/>
      <c r="K94" s="1"/>
      <c r="L94" s="1"/>
      <c r="M94" s="1"/>
      <c r="N94" s="1"/>
    </row>
    <row r="95" ht="15.75" customHeight="1">
      <c r="B95" s="1"/>
      <c r="D95" s="1"/>
      <c r="E95" s="1"/>
      <c r="F95" s="1"/>
      <c r="J95" s="1"/>
      <c r="K95" s="1"/>
      <c r="L95" s="1"/>
      <c r="M95" s="1"/>
      <c r="N95" s="1"/>
    </row>
    <row r="96" ht="15.75" customHeight="1">
      <c r="B96" s="1"/>
      <c r="D96" s="1"/>
      <c r="E96" s="1"/>
      <c r="F96" s="1"/>
      <c r="J96" s="1"/>
      <c r="K96" s="1"/>
      <c r="L96" s="1"/>
      <c r="M96" s="1"/>
      <c r="N96" s="1"/>
    </row>
    <row r="97" ht="15.75" customHeight="1">
      <c r="B97" s="1"/>
      <c r="D97" s="1"/>
      <c r="E97" s="1"/>
      <c r="F97" s="1"/>
      <c r="J97" s="1"/>
      <c r="K97" s="1"/>
      <c r="L97" s="1"/>
      <c r="M97" s="1"/>
      <c r="N97" s="1"/>
    </row>
    <row r="98" ht="15.75" customHeight="1">
      <c r="B98" s="1"/>
      <c r="D98" s="1"/>
      <c r="E98" s="1"/>
      <c r="F98" s="1"/>
      <c r="J98" s="1"/>
      <c r="K98" s="1"/>
      <c r="L98" s="1"/>
      <c r="M98" s="1"/>
      <c r="N98" s="1"/>
    </row>
    <row r="99" ht="15.75" customHeight="1">
      <c r="B99" s="1"/>
      <c r="D99" s="1"/>
      <c r="E99" s="1"/>
      <c r="F99" s="1"/>
      <c r="J99" s="1"/>
      <c r="K99" s="1"/>
      <c r="L99" s="1"/>
      <c r="M99" s="1"/>
      <c r="N99" s="1"/>
    </row>
    <row r="100" ht="15.75" customHeight="1">
      <c r="B100" s="1"/>
      <c r="D100" s="1"/>
      <c r="E100" s="1"/>
      <c r="F100" s="1"/>
      <c r="J100" s="1"/>
      <c r="K100" s="1"/>
      <c r="L100" s="1"/>
      <c r="M100" s="1"/>
      <c r="N100" s="1"/>
    </row>
    <row r="101" ht="15.75" customHeight="1">
      <c r="B101" s="1"/>
      <c r="D101" s="1"/>
      <c r="E101" s="1"/>
      <c r="F101" s="1"/>
      <c r="J101" s="1"/>
      <c r="K101" s="1"/>
      <c r="L101" s="1"/>
      <c r="M101" s="1"/>
      <c r="N101" s="1"/>
    </row>
    <row r="102" ht="15.75" customHeight="1">
      <c r="B102" s="1"/>
      <c r="D102" s="1"/>
      <c r="E102" s="1"/>
      <c r="F102" s="1"/>
      <c r="J102" s="1"/>
      <c r="K102" s="1"/>
      <c r="L102" s="1"/>
      <c r="M102" s="1"/>
      <c r="N102" s="1"/>
    </row>
    <row r="103" ht="15.75" customHeight="1">
      <c r="B103" s="1"/>
      <c r="D103" s="1"/>
      <c r="E103" s="1"/>
      <c r="F103" s="1"/>
      <c r="J103" s="1"/>
      <c r="K103" s="1"/>
      <c r="L103" s="1"/>
      <c r="M103" s="1"/>
      <c r="N103" s="1"/>
    </row>
    <row r="104" ht="15.75" customHeight="1">
      <c r="B104" s="1"/>
      <c r="D104" s="1"/>
      <c r="E104" s="1"/>
      <c r="F104" s="1"/>
      <c r="J104" s="1"/>
      <c r="K104" s="1"/>
      <c r="L104" s="1"/>
      <c r="M104" s="1"/>
      <c r="N104" s="1"/>
    </row>
    <row r="105" ht="15.75" customHeight="1">
      <c r="B105" s="1"/>
      <c r="D105" s="1"/>
      <c r="E105" s="1"/>
      <c r="F105" s="1"/>
      <c r="J105" s="1"/>
      <c r="K105" s="1"/>
      <c r="L105" s="1"/>
      <c r="M105" s="1"/>
      <c r="N105" s="1"/>
    </row>
    <row r="106" ht="15.75" customHeight="1">
      <c r="B106" s="1"/>
      <c r="D106" s="1"/>
      <c r="E106" s="1"/>
      <c r="F106" s="1"/>
      <c r="J106" s="1"/>
      <c r="K106" s="1"/>
      <c r="L106" s="1"/>
      <c r="M106" s="1"/>
      <c r="N106" s="1"/>
    </row>
    <row r="107" ht="15.75" customHeight="1">
      <c r="B107" s="1"/>
      <c r="D107" s="1"/>
      <c r="E107" s="1"/>
      <c r="F107" s="1"/>
      <c r="J107" s="1"/>
      <c r="K107" s="1"/>
      <c r="L107" s="1"/>
      <c r="M107" s="1"/>
      <c r="N107" s="1"/>
    </row>
    <row r="108" ht="15.75" customHeight="1">
      <c r="B108" s="1"/>
      <c r="D108" s="1"/>
      <c r="E108" s="1"/>
      <c r="F108" s="1"/>
      <c r="J108" s="1"/>
      <c r="K108" s="1"/>
      <c r="L108" s="1"/>
      <c r="M108" s="1"/>
      <c r="N108" s="1"/>
    </row>
    <row r="109" ht="15.75" customHeight="1">
      <c r="B109" s="1"/>
      <c r="D109" s="1"/>
      <c r="E109" s="1"/>
      <c r="F109" s="1"/>
      <c r="J109" s="1"/>
      <c r="K109" s="1"/>
      <c r="L109" s="1"/>
      <c r="M109" s="1"/>
      <c r="N109" s="1"/>
    </row>
    <row r="110" ht="15.75" customHeight="1">
      <c r="B110" s="1"/>
      <c r="D110" s="1"/>
      <c r="E110" s="1"/>
      <c r="F110" s="1"/>
      <c r="J110" s="1"/>
      <c r="K110" s="1"/>
      <c r="L110" s="1"/>
      <c r="M110" s="1"/>
      <c r="N110" s="1"/>
    </row>
    <row r="111" ht="15.75" customHeight="1">
      <c r="B111" s="1"/>
      <c r="D111" s="1"/>
      <c r="E111" s="1"/>
      <c r="F111" s="1"/>
      <c r="J111" s="1"/>
      <c r="K111" s="1"/>
      <c r="L111" s="1"/>
      <c r="M111" s="1"/>
      <c r="N111" s="1"/>
    </row>
    <row r="112" ht="15.75" customHeight="1">
      <c r="B112" s="1"/>
      <c r="D112" s="1"/>
      <c r="E112" s="1"/>
      <c r="F112" s="1"/>
      <c r="J112" s="1"/>
      <c r="K112" s="1"/>
      <c r="L112" s="1"/>
      <c r="M112" s="1"/>
      <c r="N112" s="1"/>
    </row>
    <row r="113" ht="15.75" customHeight="1">
      <c r="B113" s="1"/>
      <c r="D113" s="1"/>
      <c r="E113" s="1"/>
      <c r="F113" s="1"/>
      <c r="J113" s="1"/>
      <c r="K113" s="1"/>
      <c r="L113" s="1"/>
      <c r="M113" s="1"/>
      <c r="N113" s="1"/>
    </row>
    <row r="114" ht="15.75" customHeight="1">
      <c r="B114" s="1"/>
      <c r="D114" s="1"/>
      <c r="E114" s="1"/>
      <c r="F114" s="1"/>
      <c r="J114" s="1"/>
      <c r="K114" s="1"/>
      <c r="L114" s="1"/>
      <c r="M114" s="1"/>
      <c r="N114" s="1"/>
    </row>
    <row r="115" ht="15.75" customHeight="1">
      <c r="B115" s="1"/>
      <c r="D115" s="1"/>
      <c r="E115" s="1"/>
      <c r="F115" s="1"/>
      <c r="J115" s="1"/>
      <c r="K115" s="1"/>
      <c r="L115" s="1"/>
      <c r="M115" s="1"/>
      <c r="N115" s="1"/>
    </row>
    <row r="116" ht="15.75" customHeight="1">
      <c r="B116" s="1"/>
      <c r="D116" s="1"/>
      <c r="E116" s="1"/>
      <c r="F116" s="1"/>
      <c r="J116" s="1"/>
      <c r="K116" s="1"/>
      <c r="L116" s="1"/>
      <c r="M116" s="1"/>
      <c r="N116" s="1"/>
    </row>
    <row r="117" ht="15.75" customHeight="1">
      <c r="B117" s="1"/>
      <c r="D117" s="1"/>
      <c r="E117" s="1"/>
      <c r="F117" s="1"/>
      <c r="J117" s="1"/>
      <c r="K117" s="1"/>
      <c r="L117" s="1"/>
      <c r="M117" s="1"/>
      <c r="N117" s="1"/>
    </row>
    <row r="118" ht="15.75" customHeight="1">
      <c r="B118" s="1"/>
      <c r="D118" s="1"/>
      <c r="E118" s="1"/>
      <c r="F118" s="1"/>
      <c r="J118" s="1"/>
      <c r="K118" s="1"/>
      <c r="L118" s="1"/>
      <c r="M118" s="1"/>
      <c r="N118" s="1"/>
    </row>
    <row r="119" ht="15.75" customHeight="1">
      <c r="B119" s="1"/>
      <c r="D119" s="1"/>
      <c r="E119" s="1"/>
      <c r="F119" s="1"/>
      <c r="J119" s="1"/>
      <c r="K119" s="1"/>
      <c r="L119" s="1"/>
      <c r="M119" s="1"/>
      <c r="N119" s="1"/>
    </row>
    <row r="120" ht="15.75" customHeight="1">
      <c r="B120" s="1"/>
      <c r="D120" s="1"/>
      <c r="E120" s="1"/>
      <c r="F120" s="1"/>
      <c r="J120" s="1"/>
      <c r="K120" s="1"/>
      <c r="L120" s="1"/>
      <c r="M120" s="1"/>
      <c r="N120" s="1"/>
    </row>
    <row r="121" ht="15.75" customHeight="1">
      <c r="B121" s="1"/>
      <c r="D121" s="1"/>
      <c r="E121" s="1"/>
      <c r="F121" s="1"/>
      <c r="J121" s="1"/>
      <c r="K121" s="1"/>
      <c r="L121" s="1"/>
      <c r="M121" s="1"/>
      <c r="N121" s="1"/>
    </row>
    <row r="122" ht="15.75" customHeight="1">
      <c r="B122" s="1"/>
      <c r="D122" s="1"/>
      <c r="E122" s="1"/>
      <c r="F122" s="1"/>
      <c r="J122" s="1"/>
      <c r="K122" s="1"/>
      <c r="L122" s="1"/>
      <c r="M122" s="1"/>
      <c r="N122" s="1"/>
    </row>
    <row r="123" ht="15.75" customHeight="1">
      <c r="B123" s="1"/>
      <c r="D123" s="1"/>
      <c r="E123" s="1"/>
      <c r="F123" s="1"/>
      <c r="J123" s="1"/>
      <c r="K123" s="1"/>
      <c r="L123" s="1"/>
      <c r="M123" s="1"/>
      <c r="N123" s="1"/>
    </row>
    <row r="124" ht="15.75" customHeight="1">
      <c r="B124" s="1"/>
      <c r="D124" s="1"/>
      <c r="E124" s="1"/>
      <c r="F124" s="1"/>
      <c r="J124" s="1"/>
      <c r="K124" s="1"/>
      <c r="L124" s="1"/>
      <c r="M124" s="1"/>
      <c r="N124" s="1"/>
    </row>
    <row r="125" ht="15.75" customHeight="1">
      <c r="B125" s="1"/>
      <c r="D125" s="1"/>
      <c r="E125" s="1"/>
      <c r="F125" s="1"/>
      <c r="J125" s="1"/>
      <c r="K125" s="1"/>
      <c r="L125" s="1"/>
      <c r="M125" s="1"/>
      <c r="N125" s="1"/>
    </row>
    <row r="126" ht="15.75" customHeight="1">
      <c r="B126" s="1"/>
      <c r="D126" s="1"/>
      <c r="E126" s="1"/>
      <c r="F126" s="1"/>
      <c r="J126" s="1"/>
      <c r="K126" s="1"/>
      <c r="L126" s="1"/>
      <c r="M126" s="1"/>
      <c r="N126" s="1"/>
    </row>
    <row r="127" ht="15.75" customHeight="1">
      <c r="B127" s="1"/>
      <c r="D127" s="1"/>
      <c r="E127" s="1"/>
      <c r="F127" s="1"/>
      <c r="J127" s="1"/>
      <c r="K127" s="1"/>
      <c r="L127" s="1"/>
      <c r="M127" s="1"/>
      <c r="N127" s="1"/>
    </row>
    <row r="128" ht="15.75" customHeight="1">
      <c r="B128" s="1"/>
      <c r="D128" s="1"/>
      <c r="E128" s="1"/>
      <c r="F128" s="1"/>
      <c r="J128" s="1"/>
      <c r="K128" s="1"/>
      <c r="L128" s="1"/>
      <c r="M128" s="1"/>
      <c r="N128" s="1"/>
    </row>
    <row r="129" ht="15.75" customHeight="1">
      <c r="B129" s="1"/>
      <c r="D129" s="1"/>
      <c r="E129" s="1"/>
      <c r="F129" s="1"/>
      <c r="J129" s="1"/>
      <c r="K129" s="1"/>
      <c r="L129" s="1"/>
      <c r="M129" s="1"/>
      <c r="N129" s="1"/>
    </row>
    <row r="130" ht="15.75" customHeight="1">
      <c r="B130" s="1"/>
      <c r="D130" s="1"/>
      <c r="E130" s="1"/>
      <c r="F130" s="1"/>
      <c r="J130" s="1"/>
      <c r="K130" s="1"/>
      <c r="L130" s="1"/>
      <c r="M130" s="1"/>
      <c r="N130" s="1"/>
    </row>
    <row r="131" ht="15.75" customHeight="1">
      <c r="B131" s="1"/>
      <c r="D131" s="1"/>
      <c r="E131" s="1"/>
      <c r="F131" s="1"/>
      <c r="J131" s="1"/>
      <c r="K131" s="1"/>
      <c r="L131" s="1"/>
      <c r="M131" s="1"/>
      <c r="N131" s="1"/>
    </row>
    <row r="132" ht="15.75" customHeight="1">
      <c r="B132" s="1"/>
      <c r="D132" s="1"/>
      <c r="E132" s="1"/>
      <c r="F132" s="1"/>
      <c r="J132" s="1"/>
      <c r="K132" s="1"/>
      <c r="L132" s="1"/>
      <c r="M132" s="1"/>
      <c r="N132" s="1"/>
    </row>
    <row r="133" ht="15.75" customHeight="1">
      <c r="B133" s="1"/>
      <c r="D133" s="1"/>
      <c r="E133" s="1"/>
      <c r="F133" s="1"/>
      <c r="J133" s="1"/>
      <c r="K133" s="1"/>
      <c r="L133" s="1"/>
      <c r="M133" s="1"/>
      <c r="N133" s="1"/>
    </row>
    <row r="134" ht="15.75" customHeight="1">
      <c r="B134" s="1"/>
      <c r="D134" s="1"/>
      <c r="E134" s="1"/>
      <c r="F134" s="1"/>
      <c r="J134" s="1"/>
      <c r="K134" s="1"/>
      <c r="L134" s="1"/>
      <c r="M134" s="1"/>
      <c r="N134" s="1"/>
    </row>
    <row r="135" ht="15.75" customHeight="1">
      <c r="B135" s="1"/>
      <c r="D135" s="1"/>
      <c r="E135" s="1"/>
      <c r="F135" s="1"/>
      <c r="J135" s="1"/>
      <c r="K135" s="1"/>
      <c r="L135" s="1"/>
      <c r="M135" s="1"/>
      <c r="N135" s="1"/>
    </row>
    <row r="136" ht="15.75" customHeight="1">
      <c r="B136" s="1"/>
      <c r="D136" s="1"/>
      <c r="E136" s="1"/>
      <c r="F136" s="1"/>
      <c r="J136" s="1"/>
      <c r="K136" s="1"/>
      <c r="L136" s="1"/>
      <c r="M136" s="1"/>
      <c r="N136" s="1"/>
    </row>
    <row r="137" ht="15.75" customHeight="1">
      <c r="B137" s="1"/>
      <c r="D137" s="1"/>
      <c r="E137" s="1"/>
      <c r="F137" s="1"/>
      <c r="J137" s="1"/>
      <c r="K137" s="1"/>
      <c r="L137" s="1"/>
      <c r="M137" s="1"/>
      <c r="N137" s="1"/>
    </row>
    <row r="138" ht="15.75" customHeight="1">
      <c r="B138" s="1"/>
      <c r="D138" s="1"/>
      <c r="E138" s="1"/>
      <c r="F138" s="1"/>
      <c r="J138" s="1"/>
      <c r="K138" s="1"/>
      <c r="L138" s="1"/>
      <c r="M138" s="1"/>
      <c r="N138" s="1"/>
    </row>
    <row r="139" ht="15.75" customHeight="1">
      <c r="B139" s="1"/>
      <c r="D139" s="1"/>
      <c r="E139" s="1"/>
      <c r="F139" s="1"/>
      <c r="J139" s="1"/>
      <c r="K139" s="1"/>
      <c r="L139" s="1"/>
      <c r="M139" s="1"/>
      <c r="N139" s="1"/>
    </row>
    <row r="140" ht="15.75" customHeight="1">
      <c r="B140" s="1"/>
      <c r="D140" s="1"/>
      <c r="E140" s="1"/>
      <c r="F140" s="1"/>
      <c r="J140" s="1"/>
      <c r="K140" s="1"/>
      <c r="L140" s="1"/>
      <c r="M140" s="1"/>
      <c r="N140" s="1"/>
    </row>
    <row r="141" ht="15.75" customHeight="1">
      <c r="B141" s="1"/>
      <c r="D141" s="1"/>
      <c r="E141" s="1"/>
      <c r="F141" s="1"/>
      <c r="J141" s="1"/>
      <c r="K141" s="1"/>
      <c r="L141" s="1"/>
      <c r="M141" s="1"/>
      <c r="N141" s="1"/>
    </row>
    <row r="142" ht="15.75" customHeight="1">
      <c r="B142" s="1"/>
      <c r="D142" s="1"/>
      <c r="E142" s="1"/>
      <c r="F142" s="1"/>
      <c r="J142" s="1"/>
      <c r="K142" s="1"/>
      <c r="L142" s="1"/>
      <c r="M142" s="1"/>
      <c r="N142" s="1"/>
    </row>
    <row r="143" ht="15.75" customHeight="1">
      <c r="B143" s="1"/>
      <c r="D143" s="1"/>
      <c r="E143" s="1"/>
      <c r="F143" s="1"/>
      <c r="J143" s="1"/>
      <c r="K143" s="1"/>
      <c r="L143" s="1"/>
      <c r="M143" s="1"/>
      <c r="N143" s="1"/>
    </row>
    <row r="144" ht="15.75" customHeight="1">
      <c r="B144" s="1"/>
      <c r="D144" s="1"/>
      <c r="E144" s="1"/>
      <c r="F144" s="1"/>
      <c r="J144" s="1"/>
      <c r="K144" s="1"/>
      <c r="L144" s="1"/>
      <c r="M144" s="1"/>
      <c r="N144" s="1"/>
    </row>
    <row r="145" ht="15.75" customHeight="1">
      <c r="B145" s="1"/>
      <c r="D145" s="1"/>
      <c r="E145" s="1"/>
      <c r="F145" s="1"/>
      <c r="J145" s="1"/>
      <c r="K145" s="1"/>
      <c r="L145" s="1"/>
      <c r="M145" s="1"/>
      <c r="N145" s="1"/>
    </row>
    <row r="146" ht="15.75" customHeight="1">
      <c r="B146" s="1"/>
      <c r="D146" s="1"/>
      <c r="E146" s="1"/>
      <c r="F146" s="1"/>
      <c r="J146" s="1"/>
      <c r="K146" s="1"/>
      <c r="L146" s="1"/>
      <c r="M146" s="1"/>
      <c r="N146" s="1"/>
    </row>
    <row r="147" ht="15.75" customHeight="1">
      <c r="B147" s="1"/>
      <c r="D147" s="1"/>
      <c r="E147" s="1"/>
      <c r="F147" s="1"/>
      <c r="J147" s="1"/>
      <c r="K147" s="1"/>
      <c r="L147" s="1"/>
      <c r="M147" s="1"/>
      <c r="N147" s="1"/>
    </row>
    <row r="148" ht="15.75" customHeight="1">
      <c r="B148" s="1"/>
      <c r="D148" s="1"/>
      <c r="E148" s="1"/>
      <c r="F148" s="1"/>
      <c r="J148" s="1"/>
      <c r="K148" s="1"/>
      <c r="L148" s="1"/>
      <c r="M148" s="1"/>
      <c r="N148" s="1"/>
    </row>
    <row r="149" ht="15.75" customHeight="1">
      <c r="B149" s="1"/>
      <c r="D149" s="1"/>
      <c r="E149" s="1"/>
      <c r="F149" s="1"/>
      <c r="J149" s="1"/>
      <c r="K149" s="1"/>
      <c r="L149" s="1"/>
      <c r="M149" s="1"/>
      <c r="N149" s="1"/>
    </row>
    <row r="150" ht="15.75" customHeight="1">
      <c r="B150" s="1"/>
      <c r="D150" s="1"/>
      <c r="E150" s="1"/>
      <c r="F150" s="1"/>
      <c r="J150" s="1"/>
      <c r="K150" s="1"/>
      <c r="L150" s="1"/>
      <c r="M150" s="1"/>
      <c r="N150" s="1"/>
    </row>
    <row r="151" ht="15.75" customHeight="1">
      <c r="B151" s="1"/>
      <c r="D151" s="1"/>
      <c r="E151" s="1"/>
      <c r="F151" s="1"/>
      <c r="J151" s="1"/>
      <c r="K151" s="1"/>
      <c r="L151" s="1"/>
      <c r="M151" s="1"/>
      <c r="N151" s="1"/>
    </row>
    <row r="152" ht="15.75" customHeight="1">
      <c r="B152" s="1"/>
      <c r="D152" s="1"/>
      <c r="E152" s="1"/>
      <c r="F152" s="1"/>
      <c r="J152" s="1"/>
      <c r="K152" s="1"/>
      <c r="L152" s="1"/>
      <c r="M152" s="1"/>
      <c r="N152" s="1"/>
    </row>
    <row r="153" ht="15.75" customHeight="1">
      <c r="B153" s="1"/>
      <c r="D153" s="1"/>
      <c r="E153" s="1"/>
      <c r="F153" s="1"/>
      <c r="J153" s="1"/>
      <c r="K153" s="1"/>
      <c r="L153" s="1"/>
      <c r="M153" s="1"/>
      <c r="N153" s="1"/>
    </row>
    <row r="154" ht="15.75" customHeight="1">
      <c r="B154" s="1"/>
      <c r="D154" s="1"/>
      <c r="E154" s="1"/>
      <c r="F154" s="1"/>
      <c r="J154" s="1"/>
      <c r="K154" s="1"/>
      <c r="L154" s="1"/>
      <c r="M154" s="1"/>
      <c r="N154" s="1"/>
    </row>
    <row r="155" ht="15.75" customHeight="1">
      <c r="B155" s="1"/>
      <c r="D155" s="1"/>
      <c r="E155" s="1"/>
      <c r="F155" s="1"/>
      <c r="J155" s="1"/>
      <c r="K155" s="1"/>
      <c r="L155" s="1"/>
      <c r="M155" s="1"/>
      <c r="N155" s="1"/>
    </row>
    <row r="156" ht="15.75" customHeight="1">
      <c r="B156" s="1"/>
      <c r="D156" s="1"/>
      <c r="E156" s="1"/>
      <c r="F156" s="1"/>
      <c r="J156" s="1"/>
      <c r="K156" s="1"/>
      <c r="L156" s="1"/>
      <c r="M156" s="1"/>
      <c r="N156" s="1"/>
    </row>
    <row r="157" ht="15.75" customHeight="1">
      <c r="B157" s="1"/>
      <c r="D157" s="1"/>
      <c r="E157" s="1"/>
      <c r="F157" s="1"/>
      <c r="J157" s="1"/>
      <c r="K157" s="1"/>
      <c r="L157" s="1"/>
      <c r="M157" s="1"/>
      <c r="N157" s="1"/>
    </row>
    <row r="158" ht="15.75" customHeight="1">
      <c r="B158" s="1"/>
      <c r="D158" s="1"/>
      <c r="E158" s="1"/>
      <c r="F158" s="1"/>
      <c r="J158" s="1"/>
      <c r="K158" s="1"/>
      <c r="L158" s="1"/>
      <c r="M158" s="1"/>
      <c r="N158" s="1"/>
    </row>
    <row r="159" ht="15.75" customHeight="1">
      <c r="B159" s="1"/>
      <c r="D159" s="1"/>
      <c r="E159" s="1"/>
      <c r="F159" s="1"/>
      <c r="J159" s="1"/>
      <c r="K159" s="1"/>
      <c r="L159" s="1"/>
      <c r="M159" s="1"/>
      <c r="N159" s="1"/>
    </row>
    <row r="160" ht="15.75" customHeight="1">
      <c r="B160" s="1"/>
      <c r="D160" s="1"/>
      <c r="E160" s="1"/>
      <c r="F160" s="1"/>
      <c r="J160" s="1"/>
      <c r="K160" s="1"/>
      <c r="L160" s="1"/>
      <c r="M160" s="1"/>
      <c r="N160" s="1"/>
    </row>
    <row r="161" ht="15.75" customHeight="1">
      <c r="B161" s="1"/>
      <c r="D161" s="1"/>
      <c r="E161" s="1"/>
      <c r="F161" s="1"/>
      <c r="J161" s="1"/>
      <c r="K161" s="1"/>
      <c r="L161" s="1"/>
      <c r="M161" s="1"/>
      <c r="N161" s="1"/>
    </row>
    <row r="162" ht="15.75" customHeight="1">
      <c r="B162" s="1"/>
      <c r="D162" s="1"/>
      <c r="E162" s="1"/>
      <c r="F162" s="1"/>
      <c r="J162" s="1"/>
      <c r="K162" s="1"/>
      <c r="L162" s="1"/>
      <c r="M162" s="1"/>
      <c r="N162" s="1"/>
    </row>
    <row r="163" ht="15.75" customHeight="1">
      <c r="B163" s="1"/>
      <c r="D163" s="1"/>
      <c r="E163" s="1"/>
      <c r="F163" s="1"/>
      <c r="J163" s="1"/>
      <c r="K163" s="1"/>
      <c r="L163" s="1"/>
      <c r="M163" s="1"/>
      <c r="N163" s="1"/>
    </row>
    <row r="164" ht="15.75" customHeight="1">
      <c r="B164" s="1"/>
      <c r="D164" s="1"/>
      <c r="E164" s="1"/>
      <c r="F164" s="1"/>
      <c r="J164" s="1"/>
      <c r="K164" s="1"/>
      <c r="L164" s="1"/>
      <c r="M164" s="1"/>
      <c r="N164" s="1"/>
    </row>
    <row r="165" ht="15.75" customHeight="1">
      <c r="B165" s="1"/>
      <c r="D165" s="1"/>
      <c r="E165" s="1"/>
      <c r="F165" s="1"/>
      <c r="J165" s="1"/>
      <c r="K165" s="1"/>
      <c r="L165" s="1"/>
      <c r="M165" s="1"/>
      <c r="N165" s="1"/>
    </row>
    <row r="166" ht="15.75" customHeight="1">
      <c r="B166" s="1"/>
      <c r="D166" s="1"/>
      <c r="E166" s="1"/>
      <c r="F166" s="1"/>
      <c r="J166" s="1"/>
      <c r="K166" s="1"/>
      <c r="L166" s="1"/>
      <c r="M166" s="1"/>
      <c r="N166" s="1"/>
    </row>
    <row r="167" ht="15.75" customHeight="1">
      <c r="B167" s="1"/>
      <c r="D167" s="1"/>
      <c r="E167" s="1"/>
      <c r="F167" s="1"/>
      <c r="J167" s="1"/>
      <c r="K167" s="1"/>
      <c r="L167" s="1"/>
      <c r="M167" s="1"/>
      <c r="N167" s="1"/>
    </row>
    <row r="168" ht="15.75" customHeight="1">
      <c r="B168" s="1"/>
      <c r="D168" s="1"/>
      <c r="E168" s="1"/>
      <c r="F168" s="1"/>
      <c r="J168" s="1"/>
      <c r="K168" s="1"/>
      <c r="L168" s="1"/>
      <c r="M168" s="1"/>
      <c r="N168" s="1"/>
    </row>
    <row r="169" ht="15.75" customHeight="1">
      <c r="B169" s="1"/>
      <c r="D169" s="1"/>
      <c r="E169" s="1"/>
      <c r="F169" s="1"/>
      <c r="J169" s="1"/>
      <c r="K169" s="1"/>
      <c r="L169" s="1"/>
      <c r="M169" s="1"/>
      <c r="N169" s="1"/>
    </row>
    <row r="170" ht="15.75" customHeight="1">
      <c r="B170" s="1"/>
      <c r="D170" s="1"/>
      <c r="E170" s="1"/>
      <c r="F170" s="1"/>
      <c r="J170" s="1"/>
      <c r="K170" s="1"/>
      <c r="L170" s="1"/>
      <c r="M170" s="1"/>
      <c r="N170" s="1"/>
    </row>
    <row r="171" ht="15.75" customHeight="1">
      <c r="B171" s="1"/>
      <c r="D171" s="1"/>
      <c r="E171" s="1"/>
      <c r="F171" s="1"/>
      <c r="J171" s="1"/>
      <c r="K171" s="1"/>
      <c r="L171" s="1"/>
      <c r="M171" s="1"/>
      <c r="N171" s="1"/>
    </row>
    <row r="172" ht="15.75" customHeight="1">
      <c r="B172" s="1"/>
      <c r="D172" s="1"/>
      <c r="E172" s="1"/>
      <c r="F172" s="1"/>
      <c r="J172" s="1"/>
      <c r="K172" s="1"/>
      <c r="L172" s="1"/>
      <c r="M172" s="1"/>
      <c r="N172" s="1"/>
    </row>
    <row r="173" ht="15.75" customHeight="1">
      <c r="B173" s="1"/>
      <c r="D173" s="1"/>
      <c r="E173" s="1"/>
      <c r="F173" s="1"/>
      <c r="J173" s="1"/>
      <c r="K173" s="1"/>
      <c r="L173" s="1"/>
      <c r="M173" s="1"/>
      <c r="N173" s="1"/>
    </row>
    <row r="174" ht="15.75" customHeight="1">
      <c r="B174" s="1"/>
      <c r="D174" s="1"/>
      <c r="F174" s="1"/>
      <c r="J174" s="1"/>
      <c r="K174" s="1"/>
      <c r="L174" s="1"/>
      <c r="M174" s="1"/>
      <c r="N174" s="1"/>
    </row>
    <row r="175" ht="15.75" customHeight="1">
      <c r="B175" s="1"/>
      <c r="D175" s="1"/>
      <c r="F175" s="1"/>
      <c r="J175" s="1"/>
      <c r="K175" s="1"/>
      <c r="L175" s="1"/>
      <c r="M175" s="1"/>
      <c r="N175" s="1"/>
    </row>
    <row r="176" ht="15.75" customHeight="1">
      <c r="B176" s="1"/>
      <c r="D176" s="1"/>
      <c r="F176" s="1"/>
      <c r="J176" s="1"/>
      <c r="K176" s="1"/>
      <c r="L176" s="1"/>
      <c r="M176" s="1"/>
      <c r="N176" s="1"/>
    </row>
    <row r="177" ht="15.75" customHeight="1">
      <c r="B177" s="1"/>
      <c r="D177" s="1"/>
      <c r="F177" s="1"/>
      <c r="J177" s="1"/>
      <c r="K177" s="1"/>
      <c r="L177" s="1"/>
      <c r="M177" s="1"/>
      <c r="N177" s="1"/>
    </row>
    <row r="178" ht="15.75" customHeight="1">
      <c r="B178" s="1"/>
      <c r="D178" s="1"/>
      <c r="F178" s="1"/>
      <c r="J178" s="1"/>
      <c r="K178" s="1"/>
      <c r="L178" s="1"/>
      <c r="M178" s="1"/>
      <c r="N178" s="1"/>
    </row>
    <row r="179" ht="15.75" customHeight="1">
      <c r="B179" s="1"/>
      <c r="D179" s="1"/>
      <c r="F179" s="1"/>
      <c r="J179" s="1"/>
      <c r="K179" s="1"/>
      <c r="L179" s="1"/>
      <c r="M179" s="1"/>
      <c r="N179" s="1"/>
    </row>
    <row r="180" ht="15.75" customHeight="1">
      <c r="B180" s="1"/>
      <c r="D180" s="1"/>
      <c r="F180" s="1"/>
      <c r="J180" s="1"/>
      <c r="K180" s="1"/>
      <c r="L180" s="1"/>
      <c r="M180" s="1"/>
      <c r="N180" s="1"/>
    </row>
    <row r="181" ht="15.75" customHeight="1">
      <c r="B181" s="1"/>
      <c r="D181" s="1"/>
      <c r="F181" s="1"/>
      <c r="J181" s="1"/>
      <c r="K181" s="1"/>
      <c r="L181" s="1"/>
      <c r="M181" s="1"/>
      <c r="N181" s="1"/>
    </row>
    <row r="182" ht="15.75" customHeight="1">
      <c r="B182" s="1"/>
      <c r="D182" s="1"/>
      <c r="F182" s="1"/>
      <c r="J182" s="1"/>
      <c r="K182" s="1"/>
      <c r="L182" s="1"/>
      <c r="M182" s="1"/>
      <c r="N182" s="1"/>
    </row>
    <row r="183" ht="15.75" customHeight="1">
      <c r="B183" s="1"/>
      <c r="D183" s="1"/>
      <c r="F183" s="1"/>
      <c r="J183" s="1"/>
      <c r="K183" s="1"/>
      <c r="L183" s="1"/>
      <c r="M183" s="1"/>
      <c r="N183" s="1"/>
    </row>
    <row r="184" ht="15.75" customHeight="1">
      <c r="B184" s="1"/>
      <c r="D184" s="1"/>
      <c r="F184" s="1"/>
      <c r="J184" s="1"/>
      <c r="K184" s="1"/>
      <c r="L184" s="1"/>
      <c r="M184" s="1"/>
      <c r="N184" s="1"/>
    </row>
    <row r="185" ht="15.75" customHeight="1">
      <c r="B185" s="1"/>
      <c r="D185" s="1"/>
      <c r="F185" s="1"/>
      <c r="J185" s="1"/>
      <c r="K185" s="1"/>
      <c r="L185" s="1"/>
      <c r="M185" s="1"/>
      <c r="N185" s="1"/>
    </row>
    <row r="186" ht="15.75" customHeight="1">
      <c r="B186" s="1"/>
      <c r="D186" s="1"/>
      <c r="F186" s="1"/>
      <c r="J186" s="1"/>
      <c r="K186" s="1"/>
      <c r="L186" s="1"/>
      <c r="M186" s="1"/>
      <c r="N186" s="1"/>
    </row>
    <row r="187" ht="15.75" customHeight="1">
      <c r="B187" s="1"/>
      <c r="D187" s="1"/>
      <c r="F187" s="1"/>
      <c r="J187" s="1"/>
      <c r="K187" s="1"/>
      <c r="L187" s="1"/>
      <c r="M187" s="1"/>
      <c r="N187" s="1"/>
    </row>
    <row r="188" ht="15.75" customHeight="1">
      <c r="B188" s="1"/>
      <c r="D188" s="1"/>
      <c r="F188" s="1"/>
      <c r="J188" s="1"/>
      <c r="K188" s="1"/>
      <c r="L188" s="1"/>
      <c r="M188" s="1"/>
      <c r="N188" s="1"/>
    </row>
    <row r="189" ht="15.75" customHeight="1">
      <c r="B189" s="1"/>
      <c r="D189" s="1"/>
      <c r="F189" s="1"/>
      <c r="J189" s="1"/>
      <c r="K189" s="1"/>
      <c r="L189" s="1"/>
      <c r="M189" s="1"/>
      <c r="N189" s="1"/>
    </row>
    <row r="190" ht="15.75" customHeight="1">
      <c r="B190" s="1"/>
      <c r="D190" s="1"/>
      <c r="F190" s="1"/>
      <c r="J190" s="1"/>
      <c r="K190" s="1"/>
      <c r="L190" s="1"/>
      <c r="M190" s="1"/>
      <c r="N190" s="1"/>
    </row>
    <row r="191" ht="15.75" customHeight="1">
      <c r="B191" s="1"/>
      <c r="D191" s="1"/>
      <c r="F191" s="1"/>
      <c r="J191" s="1"/>
      <c r="K191" s="1"/>
      <c r="L191" s="1"/>
      <c r="M191" s="1"/>
      <c r="N191" s="1"/>
    </row>
    <row r="192" ht="15.75" customHeight="1">
      <c r="B192" s="1"/>
      <c r="D192" s="1"/>
      <c r="F192" s="1"/>
      <c r="J192" s="1"/>
      <c r="K192" s="1"/>
      <c r="L192" s="1"/>
      <c r="M192" s="1"/>
      <c r="N192" s="1"/>
    </row>
    <row r="193" ht="15.75" customHeight="1">
      <c r="B193" s="1"/>
      <c r="D193" s="1"/>
      <c r="F193" s="1"/>
      <c r="J193" s="1"/>
      <c r="K193" s="1"/>
      <c r="L193" s="1"/>
      <c r="M193" s="1"/>
      <c r="N193" s="1"/>
    </row>
    <row r="194" ht="15.75" customHeight="1">
      <c r="B194" s="1"/>
      <c r="D194" s="1"/>
      <c r="F194" s="1"/>
      <c r="J194" s="1"/>
      <c r="K194" s="1"/>
      <c r="L194" s="1"/>
      <c r="M194" s="1"/>
      <c r="N194" s="1"/>
    </row>
    <row r="195" ht="15.75" customHeight="1">
      <c r="B195" s="1"/>
      <c r="D195" s="1"/>
      <c r="F195" s="1"/>
      <c r="J195" s="1"/>
      <c r="K195" s="1"/>
      <c r="L195" s="1"/>
      <c r="M195" s="1"/>
      <c r="N195" s="1"/>
    </row>
    <row r="196" ht="15.75" customHeight="1">
      <c r="B196" s="1"/>
      <c r="D196" s="1"/>
      <c r="F196" s="1"/>
      <c r="J196" s="1"/>
      <c r="K196" s="1"/>
      <c r="L196" s="1"/>
      <c r="M196" s="1"/>
      <c r="N196" s="1"/>
    </row>
    <row r="197" ht="15.75" customHeight="1">
      <c r="B197" s="1"/>
      <c r="D197" s="1"/>
      <c r="F197" s="1"/>
      <c r="J197" s="1"/>
      <c r="K197" s="1"/>
      <c r="L197" s="1"/>
      <c r="M197" s="1"/>
      <c r="N197" s="1"/>
    </row>
    <row r="198" ht="15.75" customHeight="1">
      <c r="B198" s="1"/>
      <c r="D198" s="1"/>
      <c r="F198" s="1"/>
      <c r="J198" s="1"/>
      <c r="K198" s="1"/>
      <c r="L198" s="1"/>
      <c r="M198" s="1"/>
      <c r="N198" s="1"/>
    </row>
    <row r="199" ht="15.75" customHeight="1">
      <c r="B199" s="1"/>
      <c r="D199" s="1"/>
      <c r="F199" s="1"/>
      <c r="J199" s="1"/>
      <c r="K199" s="1"/>
      <c r="L199" s="1"/>
      <c r="M199" s="1"/>
      <c r="N199" s="1"/>
    </row>
    <row r="200" ht="15.75" customHeight="1">
      <c r="B200" s="1"/>
      <c r="D200" s="1"/>
      <c r="F200" s="1"/>
      <c r="J200" s="1"/>
      <c r="K200" s="1"/>
      <c r="L200" s="1"/>
      <c r="M200" s="1"/>
      <c r="N200" s="1"/>
    </row>
    <row r="201" ht="15.75" customHeight="1">
      <c r="B201" s="1"/>
      <c r="D201" s="1"/>
      <c r="F201" s="1"/>
      <c r="J201" s="1"/>
      <c r="K201" s="1"/>
      <c r="L201" s="1"/>
      <c r="M201" s="1"/>
      <c r="N201" s="1"/>
    </row>
    <row r="202" ht="15.75" customHeight="1">
      <c r="B202" s="1"/>
      <c r="D202" s="1"/>
      <c r="F202" s="1"/>
      <c r="J202" s="1"/>
      <c r="K202" s="1"/>
      <c r="L202" s="1"/>
      <c r="M202" s="1"/>
      <c r="N202" s="1"/>
    </row>
    <row r="203" ht="15.75" customHeight="1">
      <c r="B203" s="1"/>
      <c r="D203" s="1"/>
      <c r="F203" s="1"/>
      <c r="J203" s="1"/>
      <c r="K203" s="1"/>
      <c r="L203" s="1"/>
      <c r="M203" s="1"/>
      <c r="N203" s="1"/>
    </row>
    <row r="204" ht="15.75" customHeight="1">
      <c r="B204" s="1"/>
      <c r="D204" s="1"/>
      <c r="F204" s="1"/>
      <c r="J204" s="1"/>
      <c r="K204" s="1"/>
      <c r="L204" s="1"/>
      <c r="M204" s="1"/>
      <c r="N204" s="1"/>
    </row>
    <row r="205" ht="15.75" customHeight="1">
      <c r="B205" s="1"/>
      <c r="D205" s="1"/>
      <c r="F205" s="1"/>
      <c r="J205" s="1"/>
      <c r="K205" s="1"/>
      <c r="L205" s="1"/>
      <c r="M205" s="1"/>
      <c r="N205" s="1"/>
    </row>
    <row r="206" ht="15.75" customHeight="1">
      <c r="B206" s="1"/>
      <c r="D206" s="1"/>
      <c r="F206" s="1"/>
      <c r="J206" s="1"/>
      <c r="K206" s="1"/>
      <c r="L206" s="1"/>
      <c r="M206" s="1"/>
      <c r="N206" s="1"/>
    </row>
    <row r="207" ht="15.75" customHeight="1">
      <c r="B207" s="1"/>
      <c r="D207" s="1"/>
      <c r="F207" s="1"/>
      <c r="J207" s="1"/>
      <c r="K207" s="1"/>
      <c r="L207" s="1"/>
      <c r="M207" s="1"/>
      <c r="N207" s="1"/>
    </row>
    <row r="208" ht="15.75" customHeight="1">
      <c r="B208" s="1"/>
      <c r="D208" s="1"/>
      <c r="F208" s="1"/>
      <c r="J208" s="1"/>
      <c r="K208" s="1"/>
      <c r="L208" s="1"/>
      <c r="M208" s="1"/>
      <c r="N208" s="1"/>
    </row>
    <row r="209" ht="15.75" customHeight="1">
      <c r="B209" s="1"/>
      <c r="D209" s="1"/>
      <c r="F209" s="1"/>
      <c r="J209" s="1"/>
      <c r="K209" s="1"/>
      <c r="L209" s="1"/>
      <c r="M209" s="1"/>
      <c r="N209" s="1"/>
    </row>
    <row r="210" ht="15.75" customHeight="1">
      <c r="B210" s="1"/>
      <c r="D210" s="1"/>
      <c r="F210" s="1"/>
      <c r="J210" s="1"/>
      <c r="K210" s="1"/>
      <c r="L210" s="1"/>
      <c r="M210" s="1"/>
      <c r="N210" s="1"/>
    </row>
    <row r="211" ht="15.75" customHeight="1">
      <c r="B211" s="1"/>
      <c r="D211" s="1"/>
      <c r="F211" s="1"/>
      <c r="J211" s="1"/>
      <c r="K211" s="1"/>
      <c r="L211" s="1"/>
      <c r="M211" s="1"/>
      <c r="N211" s="1"/>
    </row>
    <row r="212" ht="15.75" customHeight="1">
      <c r="B212" s="1"/>
      <c r="D212" s="1"/>
      <c r="F212" s="1"/>
      <c r="J212" s="1"/>
      <c r="K212" s="1"/>
      <c r="L212" s="1"/>
      <c r="M212" s="1"/>
      <c r="N212" s="1"/>
    </row>
    <row r="213" ht="15.75" customHeight="1">
      <c r="B213" s="1"/>
      <c r="D213" s="1"/>
      <c r="F213" s="1"/>
      <c r="J213" s="1"/>
      <c r="K213" s="1"/>
      <c r="L213" s="1"/>
      <c r="M213" s="1"/>
      <c r="N213" s="1"/>
    </row>
    <row r="214" ht="15.75" customHeight="1">
      <c r="B214" s="1"/>
      <c r="D214" s="1"/>
      <c r="F214" s="1"/>
      <c r="J214" s="1"/>
      <c r="K214" s="1"/>
      <c r="L214" s="1"/>
      <c r="M214" s="1"/>
      <c r="N214" s="1"/>
    </row>
    <row r="215" ht="15.75" customHeight="1">
      <c r="B215" s="1"/>
      <c r="D215" s="1"/>
      <c r="F215" s="1"/>
      <c r="J215" s="1"/>
      <c r="K215" s="1"/>
      <c r="L215" s="1"/>
      <c r="M215" s="1"/>
      <c r="N215" s="1"/>
    </row>
    <row r="216" ht="15.75" customHeight="1">
      <c r="B216" s="1"/>
      <c r="D216" s="1"/>
      <c r="F216" s="1"/>
      <c r="J216" s="1"/>
      <c r="K216" s="1"/>
      <c r="L216" s="1"/>
      <c r="M216" s="1"/>
      <c r="N216" s="1"/>
    </row>
    <row r="217" ht="15.75" customHeight="1">
      <c r="B217" s="1"/>
      <c r="D217" s="1"/>
      <c r="F217" s="1"/>
      <c r="J217" s="1"/>
      <c r="K217" s="1"/>
      <c r="L217" s="1"/>
      <c r="M217" s="1"/>
      <c r="N217" s="1"/>
    </row>
    <row r="218" ht="15.75" customHeight="1">
      <c r="B218" s="1"/>
      <c r="D218" s="1"/>
      <c r="F218" s="1"/>
      <c r="J218" s="1"/>
      <c r="K218" s="1"/>
      <c r="L218" s="1"/>
      <c r="M218" s="1"/>
      <c r="N218" s="1"/>
    </row>
    <row r="219" ht="15.75" customHeight="1">
      <c r="B219" s="1"/>
      <c r="D219" s="1"/>
      <c r="F219" s="1"/>
      <c r="J219" s="1"/>
      <c r="K219" s="1"/>
      <c r="L219" s="1"/>
      <c r="M219" s="1"/>
      <c r="N219" s="1"/>
    </row>
    <row r="220" ht="15.75" customHeight="1">
      <c r="B220" s="1"/>
      <c r="D220" s="1"/>
      <c r="F220" s="1"/>
      <c r="J220" s="1"/>
      <c r="K220" s="1"/>
      <c r="L220" s="1"/>
      <c r="M220" s="1"/>
      <c r="N220" s="1"/>
    </row>
    <row r="221" ht="15.75" customHeight="1">
      <c r="B221" s="1"/>
      <c r="D221" s="1"/>
      <c r="F221" s="1"/>
      <c r="J221" s="1"/>
      <c r="K221" s="1"/>
      <c r="L221" s="1"/>
      <c r="M221" s="1"/>
      <c r="N221" s="1"/>
    </row>
    <row r="222" ht="15.75" customHeight="1">
      <c r="B222" s="1"/>
      <c r="D222" s="1"/>
      <c r="F222" s="1"/>
      <c r="J222" s="1"/>
      <c r="K222" s="1"/>
      <c r="L222" s="1"/>
      <c r="M222" s="1"/>
      <c r="N222" s="1"/>
    </row>
    <row r="223" ht="15.75" customHeight="1">
      <c r="B223" s="1"/>
      <c r="D223" s="1"/>
      <c r="F223" s="1"/>
      <c r="J223" s="1"/>
      <c r="K223" s="1"/>
      <c r="L223" s="1"/>
      <c r="M223" s="1"/>
      <c r="N223" s="1"/>
    </row>
    <row r="224" ht="15.75" customHeight="1">
      <c r="B224" s="1"/>
      <c r="D224" s="1"/>
      <c r="F224" s="1"/>
      <c r="J224" s="1"/>
      <c r="K224" s="1"/>
      <c r="L224" s="1"/>
      <c r="M224" s="1"/>
      <c r="N224" s="1"/>
    </row>
    <row r="225" ht="15.75" customHeight="1">
      <c r="B225" s="1"/>
      <c r="D225" s="1"/>
      <c r="F225" s="1"/>
      <c r="J225" s="1"/>
      <c r="K225" s="1"/>
      <c r="L225" s="1"/>
      <c r="M225" s="1"/>
      <c r="N225" s="1"/>
    </row>
    <row r="226" ht="15.75" customHeight="1">
      <c r="B226" s="1"/>
      <c r="D226" s="1"/>
      <c r="F226" s="1"/>
      <c r="J226" s="1"/>
      <c r="K226" s="1"/>
      <c r="L226" s="1"/>
      <c r="M226" s="1"/>
      <c r="N226" s="1"/>
    </row>
    <row r="227" ht="15.75" customHeight="1">
      <c r="B227" s="1"/>
      <c r="D227" s="1"/>
      <c r="F227" s="1"/>
      <c r="J227" s="1"/>
      <c r="K227" s="1"/>
      <c r="L227" s="1"/>
      <c r="M227" s="1"/>
      <c r="N227" s="1"/>
    </row>
    <row r="228" ht="15.75" customHeight="1">
      <c r="B228" s="1"/>
      <c r="D228" s="1"/>
      <c r="F228" s="1"/>
      <c r="J228" s="1"/>
      <c r="K228" s="1"/>
      <c r="L228" s="1"/>
      <c r="M228" s="1"/>
      <c r="N228" s="1"/>
    </row>
    <row r="229" ht="15.75" customHeight="1">
      <c r="B229" s="1"/>
      <c r="D229" s="1"/>
      <c r="F229" s="1"/>
      <c r="J229" s="1"/>
      <c r="K229" s="1"/>
      <c r="L229" s="1"/>
      <c r="M229" s="1"/>
      <c r="N229" s="1"/>
    </row>
    <row r="230" ht="15.75" customHeight="1">
      <c r="B230" s="1"/>
      <c r="D230" s="1"/>
      <c r="F230" s="1"/>
      <c r="J230" s="1"/>
      <c r="K230" s="1"/>
      <c r="L230" s="1"/>
      <c r="M230" s="1"/>
      <c r="N230" s="1"/>
    </row>
    <row r="231" ht="15.75" customHeight="1">
      <c r="B231" s="1"/>
      <c r="D231" s="1"/>
      <c r="F231" s="1"/>
      <c r="J231" s="1"/>
      <c r="K231" s="1"/>
      <c r="L231" s="1"/>
      <c r="M231" s="1"/>
      <c r="N231" s="1"/>
    </row>
    <row r="232" ht="15.75" customHeight="1">
      <c r="B232" s="1"/>
      <c r="D232" s="1"/>
      <c r="F232" s="1"/>
      <c r="J232" s="1"/>
      <c r="K232" s="1"/>
      <c r="L232" s="1"/>
      <c r="M232" s="1"/>
      <c r="N232" s="1"/>
    </row>
    <row r="233" ht="15.75" customHeight="1">
      <c r="B233" s="1"/>
      <c r="D233" s="1"/>
      <c r="F233" s="1"/>
      <c r="J233" s="1"/>
      <c r="K233" s="1"/>
      <c r="L233" s="1"/>
      <c r="M233" s="1"/>
      <c r="N233" s="1"/>
    </row>
    <row r="234" ht="15.75" customHeight="1">
      <c r="B234" s="1"/>
      <c r="D234" s="1"/>
      <c r="F234" s="1"/>
      <c r="J234" s="1"/>
      <c r="K234" s="1"/>
      <c r="L234" s="1"/>
      <c r="M234" s="1"/>
      <c r="N234" s="1"/>
    </row>
    <row r="235" ht="15.75" customHeight="1">
      <c r="B235" s="1"/>
      <c r="D235" s="1"/>
      <c r="F235" s="1"/>
      <c r="J235" s="1"/>
      <c r="K235" s="1"/>
      <c r="L235" s="1"/>
      <c r="M235" s="1"/>
      <c r="N235" s="1"/>
    </row>
    <row r="236" ht="15.75" customHeight="1">
      <c r="B236" s="1"/>
      <c r="D236" s="1"/>
      <c r="F236" s="1"/>
      <c r="J236" s="1"/>
      <c r="K236" s="1"/>
      <c r="L236" s="1"/>
      <c r="M236" s="1"/>
      <c r="N236" s="1"/>
    </row>
    <row r="237" ht="15.75" customHeight="1">
      <c r="B237" s="1"/>
      <c r="D237" s="1"/>
      <c r="F237" s="1"/>
      <c r="J237" s="1"/>
      <c r="K237" s="1"/>
      <c r="L237" s="1"/>
      <c r="M237" s="1"/>
      <c r="N237" s="1"/>
    </row>
    <row r="238" ht="15.75" customHeight="1">
      <c r="B238" s="1"/>
      <c r="D238" s="1"/>
      <c r="F238" s="1"/>
      <c r="J238" s="1"/>
      <c r="K238" s="1"/>
      <c r="L238" s="1"/>
      <c r="M238" s="1"/>
      <c r="N238" s="1"/>
    </row>
    <row r="239" ht="15.75" customHeight="1">
      <c r="B239" s="1"/>
      <c r="D239" s="1"/>
      <c r="F239" s="1"/>
      <c r="J239" s="1"/>
      <c r="K239" s="1"/>
      <c r="L239" s="1"/>
      <c r="M239" s="1"/>
      <c r="N239" s="1"/>
    </row>
    <row r="240" ht="15.75" customHeight="1">
      <c r="B240" s="1"/>
      <c r="D240" s="1"/>
      <c r="F240" s="1"/>
      <c r="J240" s="1"/>
      <c r="K240" s="1"/>
      <c r="L240" s="1"/>
      <c r="M240" s="1"/>
      <c r="N240" s="1"/>
    </row>
    <row r="241" ht="15.75" customHeight="1">
      <c r="B241" s="1"/>
      <c r="D241" s="1"/>
      <c r="F241" s="1"/>
      <c r="J241" s="1"/>
      <c r="K241" s="1"/>
      <c r="L241" s="1"/>
      <c r="M241" s="1"/>
      <c r="N241" s="1"/>
    </row>
    <row r="242" ht="15.75" customHeight="1">
      <c r="B242" s="1"/>
      <c r="D242" s="1"/>
      <c r="F242" s="1"/>
      <c r="J242" s="1"/>
      <c r="K242" s="1"/>
      <c r="L242" s="1"/>
      <c r="M242" s="1"/>
      <c r="N242" s="1"/>
    </row>
    <row r="243" ht="15.75" customHeight="1">
      <c r="B243" s="1"/>
      <c r="D243" s="1"/>
      <c r="F243" s="1"/>
      <c r="J243" s="1"/>
      <c r="K243" s="1"/>
      <c r="L243" s="1"/>
      <c r="M243" s="1"/>
      <c r="N243" s="1"/>
    </row>
    <row r="244" ht="15.75" customHeight="1">
      <c r="B244" s="1"/>
      <c r="D244" s="1"/>
      <c r="F244" s="1"/>
      <c r="J244" s="1"/>
      <c r="K244" s="1"/>
      <c r="L244" s="1"/>
      <c r="M244" s="1"/>
      <c r="N244" s="1"/>
    </row>
    <row r="245" ht="15.75" customHeight="1">
      <c r="B245" s="1"/>
      <c r="D245" s="1"/>
      <c r="F245" s="1"/>
      <c r="J245" s="1"/>
      <c r="K245" s="1"/>
      <c r="L245" s="1"/>
      <c r="M245" s="1"/>
      <c r="N245" s="1"/>
    </row>
    <row r="246" ht="15.75" customHeight="1">
      <c r="B246" s="1"/>
      <c r="D246" s="1"/>
      <c r="F246" s="1"/>
      <c r="J246" s="1"/>
      <c r="K246" s="1"/>
      <c r="L246" s="1"/>
      <c r="M246" s="1"/>
      <c r="N246" s="1"/>
    </row>
    <row r="247" ht="15.75" customHeight="1">
      <c r="B247" s="1"/>
      <c r="D247" s="1"/>
      <c r="F247" s="1"/>
      <c r="J247" s="1"/>
      <c r="K247" s="1"/>
      <c r="L247" s="1"/>
      <c r="M247" s="1"/>
      <c r="N247" s="1"/>
    </row>
    <row r="248" ht="15.75" customHeight="1">
      <c r="B248" s="1"/>
      <c r="D248" s="1"/>
      <c r="F248" s="1"/>
      <c r="J248" s="1"/>
      <c r="K248" s="1"/>
      <c r="L248" s="1"/>
      <c r="M248" s="1"/>
      <c r="N248" s="1"/>
    </row>
    <row r="249" ht="15.75" customHeight="1">
      <c r="B249" s="1"/>
      <c r="D249" s="1"/>
      <c r="F249" s="1"/>
      <c r="J249" s="1"/>
      <c r="K249" s="1"/>
      <c r="L249" s="1"/>
      <c r="M249" s="1"/>
      <c r="N249" s="1"/>
    </row>
    <row r="250" ht="15.75" customHeight="1">
      <c r="B250" s="1"/>
      <c r="D250" s="1"/>
      <c r="F250" s="1"/>
      <c r="J250" s="1"/>
      <c r="K250" s="1"/>
      <c r="L250" s="1"/>
      <c r="M250" s="1"/>
      <c r="N250" s="1"/>
    </row>
    <row r="251" ht="15.75" customHeight="1">
      <c r="B251" s="1"/>
      <c r="D251" s="1"/>
      <c r="F251" s="1"/>
      <c r="J251" s="1"/>
      <c r="K251" s="1"/>
      <c r="L251" s="1"/>
      <c r="M251" s="1"/>
      <c r="N251" s="1"/>
    </row>
    <row r="252" ht="15.75" customHeight="1">
      <c r="B252" s="1"/>
      <c r="D252" s="1"/>
      <c r="F252" s="1"/>
      <c r="J252" s="1"/>
      <c r="K252" s="1"/>
      <c r="L252" s="1"/>
      <c r="M252" s="1"/>
      <c r="N252" s="1"/>
    </row>
    <row r="253" ht="15.75" customHeight="1">
      <c r="B253" s="1"/>
      <c r="D253" s="1"/>
      <c r="F253" s="1"/>
      <c r="J253" s="1"/>
      <c r="K253" s="1"/>
      <c r="L253" s="1"/>
      <c r="M253" s="1"/>
      <c r="N253" s="1"/>
    </row>
    <row r="254" ht="15.75" customHeight="1">
      <c r="B254" s="1"/>
      <c r="D254" s="1"/>
      <c r="F254" s="1"/>
      <c r="J254" s="1"/>
      <c r="K254" s="1"/>
      <c r="L254" s="1"/>
      <c r="M254" s="1"/>
      <c r="N254" s="1"/>
    </row>
    <row r="255" ht="15.75" customHeight="1">
      <c r="B255" s="1"/>
      <c r="D255" s="1"/>
      <c r="F255" s="1"/>
      <c r="J255" s="1"/>
      <c r="K255" s="1"/>
      <c r="L255" s="1"/>
      <c r="M255" s="1"/>
      <c r="N255" s="1"/>
    </row>
    <row r="256" ht="15.75" customHeight="1">
      <c r="B256" s="1"/>
      <c r="D256" s="1"/>
      <c r="F256" s="1"/>
      <c r="J256" s="1"/>
      <c r="K256" s="1"/>
      <c r="L256" s="1"/>
      <c r="M256" s="1"/>
      <c r="N256" s="1"/>
    </row>
    <row r="257" ht="15.75" customHeight="1">
      <c r="B257" s="1"/>
      <c r="D257" s="1"/>
      <c r="F257" s="1"/>
      <c r="J257" s="1"/>
      <c r="K257" s="1"/>
      <c r="L257" s="1"/>
      <c r="M257" s="1"/>
      <c r="N257" s="1"/>
    </row>
    <row r="258" ht="15.75" customHeight="1">
      <c r="B258" s="1"/>
      <c r="D258" s="1"/>
      <c r="F258" s="1"/>
      <c r="J258" s="1"/>
      <c r="K258" s="1"/>
      <c r="L258" s="1"/>
      <c r="M258" s="1"/>
      <c r="N258" s="1"/>
    </row>
    <row r="259" ht="15.75" customHeight="1">
      <c r="B259" s="1"/>
      <c r="D259" s="1"/>
      <c r="F259" s="1"/>
      <c r="J259" s="1"/>
      <c r="K259" s="1"/>
      <c r="L259" s="1"/>
      <c r="M259" s="1"/>
      <c r="N259" s="1"/>
    </row>
    <row r="260" ht="15.75" customHeight="1">
      <c r="B260" s="1"/>
      <c r="D260" s="1"/>
      <c r="F260" s="1"/>
      <c r="J260" s="1"/>
      <c r="K260" s="1"/>
      <c r="L260" s="1"/>
      <c r="M260" s="1"/>
      <c r="N260" s="1"/>
    </row>
    <row r="261" ht="15.75" customHeight="1">
      <c r="B261" s="1"/>
      <c r="D261" s="1"/>
      <c r="F261" s="1"/>
      <c r="J261" s="1"/>
      <c r="K261" s="1"/>
      <c r="L261" s="1"/>
      <c r="M261" s="1"/>
      <c r="N261" s="1"/>
    </row>
    <row r="262" ht="15.75" customHeight="1">
      <c r="B262" s="1"/>
      <c r="D262" s="1"/>
      <c r="F262" s="1"/>
      <c r="J262" s="1"/>
      <c r="K262" s="1"/>
      <c r="L262" s="1"/>
      <c r="M262" s="1"/>
      <c r="N262" s="1"/>
    </row>
    <row r="263" ht="15.75" customHeight="1">
      <c r="B263" s="1"/>
      <c r="D263" s="1"/>
      <c r="F263" s="1"/>
      <c r="J263" s="1"/>
      <c r="K263" s="1"/>
      <c r="L263" s="1"/>
      <c r="M263" s="1"/>
      <c r="N263" s="1"/>
    </row>
    <row r="264" ht="15.75" customHeight="1">
      <c r="B264" s="1"/>
      <c r="D264" s="1"/>
      <c r="F264" s="1"/>
      <c r="J264" s="1"/>
      <c r="K264" s="1"/>
      <c r="L264" s="1"/>
      <c r="M264" s="1"/>
      <c r="N264" s="1"/>
    </row>
    <row r="265" ht="15.75" customHeight="1">
      <c r="B265" s="1"/>
      <c r="D265" s="1"/>
      <c r="F265" s="1"/>
      <c r="J265" s="1"/>
      <c r="K265" s="1"/>
      <c r="L265" s="1"/>
      <c r="M265" s="1"/>
      <c r="N265" s="1"/>
    </row>
    <row r="266" ht="15.75" customHeight="1">
      <c r="B266" s="1"/>
      <c r="D266" s="1"/>
      <c r="F266" s="1"/>
      <c r="J266" s="1"/>
      <c r="K266" s="1"/>
      <c r="L266" s="1"/>
      <c r="M266" s="1"/>
      <c r="N266" s="1"/>
    </row>
    <row r="267" ht="15.75" customHeight="1">
      <c r="B267" s="1"/>
      <c r="D267" s="1"/>
      <c r="F267" s="1"/>
      <c r="J267" s="1"/>
      <c r="K267" s="1"/>
      <c r="L267" s="1"/>
      <c r="M267" s="1"/>
      <c r="N267" s="1"/>
    </row>
    <row r="268" ht="15.75" customHeight="1">
      <c r="B268" s="1"/>
      <c r="D268" s="1"/>
      <c r="F268" s="1"/>
      <c r="J268" s="1"/>
      <c r="K268" s="1"/>
      <c r="L268" s="1"/>
      <c r="M268" s="1"/>
      <c r="N268" s="1"/>
    </row>
    <row r="269" ht="15.75" customHeight="1">
      <c r="B269" s="1"/>
      <c r="D269" s="1"/>
      <c r="F269" s="1"/>
      <c r="J269" s="1"/>
      <c r="K269" s="1"/>
      <c r="L269" s="1"/>
      <c r="M269" s="1"/>
      <c r="N269" s="1"/>
    </row>
    <row r="270" ht="15.75" customHeight="1">
      <c r="B270" s="1"/>
      <c r="D270" s="1"/>
      <c r="F270" s="1"/>
      <c r="J270" s="1"/>
      <c r="K270" s="1"/>
      <c r="L270" s="1"/>
      <c r="M270" s="1"/>
      <c r="N270" s="1"/>
    </row>
    <row r="271" ht="15.75" customHeight="1">
      <c r="B271" s="1"/>
      <c r="D271" s="1"/>
      <c r="F271" s="1"/>
      <c r="J271" s="1"/>
      <c r="K271" s="1"/>
      <c r="L271" s="1"/>
      <c r="M271" s="1"/>
      <c r="N271" s="1"/>
    </row>
    <row r="272" ht="15.75" customHeight="1">
      <c r="B272" s="1"/>
      <c r="D272" s="1"/>
      <c r="F272" s="1"/>
      <c r="J272" s="1"/>
      <c r="K272" s="1"/>
      <c r="L272" s="1"/>
      <c r="M272" s="1"/>
      <c r="N272" s="1"/>
    </row>
    <row r="273" ht="15.75" customHeight="1">
      <c r="B273" s="1"/>
      <c r="D273" s="1"/>
      <c r="F273" s="1"/>
      <c r="J273" s="1"/>
      <c r="K273" s="1"/>
      <c r="L273" s="1"/>
      <c r="M273" s="1"/>
      <c r="N273" s="1"/>
    </row>
    <row r="274" ht="15.75" customHeight="1">
      <c r="B274" s="1"/>
      <c r="D274" s="1"/>
      <c r="F274" s="1"/>
      <c r="J274" s="1"/>
      <c r="K274" s="1"/>
      <c r="L274" s="1"/>
      <c r="M274" s="1"/>
      <c r="N274" s="1"/>
    </row>
    <row r="275" ht="15.75" customHeight="1">
      <c r="B275" s="1"/>
      <c r="D275" s="1"/>
      <c r="F275" s="1"/>
      <c r="J275" s="1"/>
      <c r="K275" s="1"/>
      <c r="L275" s="1"/>
      <c r="M275" s="1"/>
      <c r="N275" s="1"/>
    </row>
    <row r="276" ht="15.75" customHeight="1">
      <c r="B276" s="1"/>
      <c r="D276" s="1"/>
      <c r="F276" s="1"/>
      <c r="J276" s="1"/>
      <c r="K276" s="1"/>
      <c r="L276" s="1"/>
      <c r="M276" s="1"/>
      <c r="N276" s="1"/>
    </row>
    <row r="277" ht="15.75" customHeight="1">
      <c r="B277" s="1"/>
      <c r="D277" s="1"/>
      <c r="F277" s="1"/>
      <c r="J277" s="1"/>
      <c r="K277" s="1"/>
      <c r="L277" s="1"/>
      <c r="M277" s="1"/>
      <c r="N277" s="1"/>
    </row>
    <row r="278" ht="15.75" customHeight="1">
      <c r="B278" s="1"/>
      <c r="D278" s="1"/>
      <c r="F278" s="1"/>
      <c r="J278" s="1"/>
      <c r="K278" s="1"/>
      <c r="L278" s="1"/>
      <c r="M278" s="1"/>
      <c r="N278" s="1"/>
    </row>
    <row r="279" ht="15.75" customHeight="1">
      <c r="B279" s="1"/>
      <c r="D279" s="1"/>
      <c r="F279" s="1"/>
      <c r="J279" s="1"/>
      <c r="K279" s="1"/>
      <c r="L279" s="1"/>
      <c r="M279" s="1"/>
      <c r="N279" s="1"/>
    </row>
    <row r="280" ht="15.75" customHeight="1">
      <c r="B280" s="1"/>
      <c r="D280" s="1"/>
      <c r="F280" s="1"/>
      <c r="J280" s="1"/>
      <c r="K280" s="1"/>
      <c r="L280" s="1"/>
      <c r="M280" s="1"/>
      <c r="N280" s="1"/>
    </row>
    <row r="281" ht="15.75" customHeight="1">
      <c r="B281" s="1"/>
      <c r="D281" s="1"/>
      <c r="F281" s="1"/>
      <c r="J281" s="1"/>
      <c r="K281" s="1"/>
      <c r="L281" s="1"/>
      <c r="M281" s="1"/>
      <c r="N281" s="1"/>
    </row>
    <row r="282" ht="15.75" customHeight="1">
      <c r="B282" s="1"/>
      <c r="D282" s="1"/>
      <c r="F282" s="1"/>
      <c r="J282" s="1"/>
      <c r="K282" s="1"/>
      <c r="L282" s="1"/>
      <c r="M282" s="1"/>
      <c r="N282" s="1"/>
    </row>
    <row r="283" ht="15.75" customHeight="1">
      <c r="B283" s="1"/>
      <c r="D283" s="1"/>
      <c r="F283" s="1"/>
      <c r="J283" s="1"/>
      <c r="K283" s="1"/>
      <c r="L283" s="1"/>
      <c r="M283" s="1"/>
      <c r="N283" s="1"/>
    </row>
    <row r="284" ht="15.75" customHeight="1">
      <c r="B284" s="1"/>
      <c r="D284" s="1"/>
      <c r="F284" s="1"/>
      <c r="J284" s="1"/>
      <c r="K284" s="1"/>
      <c r="L284" s="1"/>
      <c r="M284" s="1"/>
      <c r="N284" s="1"/>
    </row>
    <row r="285" ht="15.75" customHeight="1">
      <c r="B285" s="1"/>
      <c r="D285" s="1"/>
      <c r="F285" s="1"/>
      <c r="J285" s="1"/>
      <c r="K285" s="1"/>
      <c r="L285" s="1"/>
      <c r="M285" s="1"/>
      <c r="N285" s="1"/>
    </row>
    <row r="286" ht="15.75" customHeight="1">
      <c r="B286" s="1"/>
      <c r="D286" s="1"/>
      <c r="F286" s="1"/>
      <c r="J286" s="1"/>
      <c r="K286" s="1"/>
      <c r="L286" s="1"/>
      <c r="M286" s="1"/>
      <c r="N286" s="1"/>
    </row>
    <row r="287" ht="15.75" customHeight="1">
      <c r="B287" s="1"/>
      <c r="D287" s="1"/>
      <c r="F287" s="1"/>
      <c r="J287" s="1"/>
      <c r="K287" s="1"/>
      <c r="L287" s="1"/>
      <c r="M287" s="1"/>
      <c r="N287" s="1"/>
    </row>
    <row r="288" ht="15.75" customHeight="1">
      <c r="B288" s="1"/>
      <c r="D288" s="1"/>
      <c r="F288" s="1"/>
      <c r="J288" s="1"/>
      <c r="K288" s="1"/>
      <c r="L288" s="1"/>
      <c r="M288" s="1"/>
      <c r="N288" s="1"/>
    </row>
    <row r="289" ht="15.75" customHeight="1">
      <c r="B289" s="1"/>
      <c r="D289" s="1"/>
      <c r="F289" s="1"/>
      <c r="J289" s="1"/>
      <c r="K289" s="1"/>
      <c r="L289" s="1"/>
      <c r="M289" s="1"/>
      <c r="N289" s="1"/>
    </row>
    <row r="290" ht="15.75" customHeight="1">
      <c r="B290" s="1"/>
      <c r="D290" s="1"/>
      <c r="F290" s="1"/>
      <c r="J290" s="1"/>
      <c r="K290" s="1"/>
      <c r="L290" s="1"/>
      <c r="M290" s="1"/>
      <c r="N290" s="1"/>
    </row>
    <row r="291" ht="15.75" customHeight="1">
      <c r="B291" s="1"/>
      <c r="D291" s="1"/>
      <c r="F291" s="1"/>
      <c r="J291" s="1"/>
      <c r="K291" s="1"/>
      <c r="L291" s="1"/>
      <c r="M291" s="1"/>
      <c r="N291" s="1"/>
    </row>
    <row r="292" ht="15.75" customHeight="1">
      <c r="B292" s="1"/>
      <c r="D292" s="1"/>
      <c r="F292" s="1"/>
      <c r="J292" s="1"/>
      <c r="K292" s="1"/>
      <c r="L292" s="1"/>
      <c r="M292" s="1"/>
      <c r="N292" s="1"/>
    </row>
    <row r="293" ht="15.75" customHeight="1">
      <c r="B293" s="1"/>
      <c r="D293" s="1"/>
      <c r="F293" s="1"/>
      <c r="J293" s="1"/>
      <c r="K293" s="1"/>
      <c r="L293" s="1"/>
      <c r="M293" s="1"/>
      <c r="N293" s="1"/>
    </row>
    <row r="294" ht="15.75" customHeight="1">
      <c r="B294" s="1"/>
      <c r="D294" s="1"/>
      <c r="F294" s="1"/>
      <c r="J294" s="1"/>
      <c r="K294" s="1"/>
      <c r="L294" s="1"/>
      <c r="M294" s="1"/>
      <c r="N294" s="1"/>
    </row>
    <row r="295" ht="15.75" customHeight="1">
      <c r="B295" s="1"/>
      <c r="D295" s="1"/>
      <c r="F295" s="1"/>
      <c r="J295" s="1"/>
      <c r="K295" s="1"/>
      <c r="L295" s="1"/>
      <c r="M295" s="1"/>
      <c r="N295" s="1"/>
    </row>
    <row r="296" ht="15.75" customHeight="1">
      <c r="B296" s="1"/>
      <c r="D296" s="1"/>
      <c r="F296" s="1"/>
      <c r="J296" s="1"/>
      <c r="K296" s="1"/>
      <c r="L296" s="1"/>
      <c r="M296" s="1"/>
      <c r="N296" s="1"/>
    </row>
    <row r="297" ht="15.75" customHeight="1">
      <c r="B297" s="1"/>
      <c r="D297" s="1"/>
      <c r="F297" s="1"/>
      <c r="J297" s="1"/>
      <c r="K297" s="1"/>
      <c r="L297" s="1"/>
      <c r="M297" s="1"/>
      <c r="N297" s="1"/>
    </row>
    <row r="298" ht="15.75" customHeight="1">
      <c r="B298" s="1"/>
      <c r="D298" s="1"/>
      <c r="F298" s="1"/>
      <c r="J298" s="1"/>
      <c r="K298" s="1"/>
      <c r="L298" s="1"/>
      <c r="M298" s="1"/>
      <c r="N298" s="1"/>
    </row>
    <row r="299" ht="15.75" customHeight="1">
      <c r="B299" s="1"/>
      <c r="D299" s="1"/>
      <c r="F299" s="1"/>
      <c r="J299" s="1"/>
      <c r="K299" s="1"/>
      <c r="L299" s="1"/>
      <c r="M299" s="1"/>
      <c r="N299" s="1"/>
    </row>
    <row r="300" ht="15.75" customHeight="1">
      <c r="B300" s="1"/>
      <c r="D300" s="1"/>
      <c r="F300" s="1"/>
      <c r="J300" s="1"/>
      <c r="K300" s="1"/>
      <c r="L300" s="1"/>
      <c r="M300" s="1"/>
      <c r="N300" s="1"/>
    </row>
    <row r="301" ht="15.75" customHeight="1">
      <c r="B301" s="1"/>
      <c r="D301" s="1"/>
      <c r="F301" s="1"/>
      <c r="J301" s="1"/>
      <c r="K301" s="1"/>
      <c r="L301" s="1"/>
      <c r="M301" s="1"/>
      <c r="N301" s="1"/>
    </row>
    <row r="302" ht="15.75" customHeight="1">
      <c r="B302" s="1"/>
      <c r="D302" s="1"/>
      <c r="F302" s="1"/>
      <c r="J302" s="1"/>
      <c r="K302" s="1"/>
      <c r="L302" s="1"/>
      <c r="M302" s="1"/>
      <c r="N302" s="1"/>
    </row>
    <row r="303" ht="15.75" customHeight="1">
      <c r="B303" s="1"/>
      <c r="D303" s="1"/>
      <c r="F303" s="1"/>
      <c r="J303" s="1"/>
      <c r="K303" s="1"/>
      <c r="L303" s="1"/>
      <c r="M303" s="1"/>
      <c r="N303" s="1"/>
    </row>
    <row r="304" ht="15.75" customHeight="1">
      <c r="B304" s="1"/>
      <c r="D304" s="1"/>
      <c r="F304" s="1"/>
      <c r="J304" s="1"/>
      <c r="K304" s="1"/>
      <c r="L304" s="1"/>
      <c r="M304" s="1"/>
      <c r="N304" s="1"/>
    </row>
    <row r="305" ht="15.75" customHeight="1">
      <c r="B305" s="1"/>
      <c r="D305" s="1"/>
      <c r="F305" s="1"/>
      <c r="J305" s="1"/>
      <c r="K305" s="1"/>
      <c r="L305" s="1"/>
      <c r="M305" s="1"/>
      <c r="N305" s="1"/>
    </row>
    <row r="306" ht="15.75" customHeight="1">
      <c r="B306" s="1"/>
      <c r="D306" s="1"/>
      <c r="F306" s="1"/>
      <c r="J306" s="1"/>
      <c r="K306" s="1"/>
      <c r="L306" s="1"/>
      <c r="M306" s="1"/>
      <c r="N306" s="1"/>
    </row>
    <row r="307" ht="15.75" customHeight="1">
      <c r="B307" s="1"/>
      <c r="D307" s="1"/>
      <c r="F307" s="1"/>
      <c r="J307" s="1"/>
      <c r="K307" s="1"/>
      <c r="L307" s="1"/>
      <c r="M307" s="1"/>
      <c r="N307" s="1"/>
    </row>
    <row r="308" ht="15.75" customHeight="1">
      <c r="B308" s="1"/>
      <c r="D308" s="1"/>
      <c r="F308" s="1"/>
      <c r="J308" s="1"/>
      <c r="K308" s="1"/>
      <c r="L308" s="1"/>
      <c r="M308" s="1"/>
      <c r="N308" s="1"/>
    </row>
    <row r="309" ht="15.75" customHeight="1">
      <c r="B309" s="1"/>
      <c r="D309" s="1"/>
      <c r="F309" s="1"/>
      <c r="J309" s="1"/>
      <c r="K309" s="1"/>
      <c r="L309" s="1"/>
      <c r="M309" s="1"/>
      <c r="N309" s="1"/>
    </row>
    <row r="310" ht="15.75" customHeight="1">
      <c r="B310" s="1"/>
      <c r="D310" s="1"/>
      <c r="F310" s="1"/>
      <c r="J310" s="1"/>
      <c r="K310" s="1"/>
      <c r="L310" s="1"/>
      <c r="M310" s="1"/>
      <c r="N310" s="1"/>
    </row>
    <row r="311" ht="15.75" customHeight="1">
      <c r="B311" s="1"/>
      <c r="D311" s="1"/>
      <c r="F311" s="1"/>
      <c r="J311" s="1"/>
      <c r="K311" s="1"/>
      <c r="L311" s="1"/>
      <c r="M311" s="1"/>
      <c r="N311" s="1"/>
    </row>
    <row r="312" ht="15.75" customHeight="1">
      <c r="B312" s="1"/>
      <c r="D312" s="1"/>
      <c r="F312" s="1"/>
      <c r="J312" s="1"/>
      <c r="K312" s="1"/>
      <c r="L312" s="1"/>
      <c r="M312" s="1"/>
      <c r="N312" s="1"/>
    </row>
    <row r="313" ht="15.75" customHeight="1">
      <c r="B313" s="1"/>
      <c r="D313" s="1"/>
      <c r="F313" s="1"/>
      <c r="J313" s="1"/>
      <c r="K313" s="1"/>
      <c r="L313" s="1"/>
      <c r="M313" s="1"/>
      <c r="N313" s="1"/>
    </row>
    <row r="314" ht="15.75" customHeight="1">
      <c r="B314" s="1"/>
      <c r="D314" s="1"/>
      <c r="F314" s="1"/>
      <c r="J314" s="1"/>
      <c r="K314" s="1"/>
      <c r="L314" s="1"/>
      <c r="M314" s="1"/>
      <c r="N314" s="1"/>
    </row>
    <row r="315" ht="15.75" customHeight="1">
      <c r="B315" s="1"/>
      <c r="D315" s="1"/>
      <c r="F315" s="1"/>
      <c r="J315" s="1"/>
      <c r="K315" s="1"/>
      <c r="L315" s="1"/>
      <c r="M315" s="1"/>
      <c r="N315" s="1"/>
    </row>
    <row r="316" ht="15.75" customHeight="1">
      <c r="B316" s="1"/>
      <c r="D316" s="1"/>
      <c r="F316" s="1"/>
      <c r="J316" s="1"/>
      <c r="K316" s="1"/>
      <c r="L316" s="1"/>
      <c r="M316" s="1"/>
      <c r="N316" s="1"/>
    </row>
    <row r="317" ht="15.75" customHeight="1">
      <c r="B317" s="1"/>
      <c r="D317" s="1"/>
      <c r="F317" s="1"/>
      <c r="J317" s="1"/>
      <c r="K317" s="1"/>
      <c r="L317" s="1"/>
      <c r="M317" s="1"/>
      <c r="N317" s="1"/>
    </row>
    <row r="318" ht="15.75" customHeight="1">
      <c r="B318" s="1"/>
      <c r="D318" s="1"/>
      <c r="F318" s="1"/>
      <c r="J318" s="1"/>
      <c r="K318" s="1"/>
      <c r="L318" s="1"/>
      <c r="M318" s="1"/>
      <c r="N318" s="1"/>
    </row>
    <row r="319" ht="15.75" customHeight="1">
      <c r="B319" s="1"/>
      <c r="D319" s="1"/>
      <c r="F319" s="1"/>
      <c r="J319" s="1"/>
      <c r="K319" s="1"/>
      <c r="L319" s="1"/>
      <c r="M319" s="1"/>
      <c r="N319" s="1"/>
    </row>
    <row r="320" ht="15.75" customHeight="1">
      <c r="B320" s="1"/>
      <c r="D320" s="1"/>
      <c r="F320" s="1"/>
      <c r="J320" s="1"/>
      <c r="K320" s="1"/>
      <c r="L320" s="1"/>
      <c r="M320" s="1"/>
      <c r="N320" s="1"/>
    </row>
    <row r="321" ht="15.75" customHeight="1">
      <c r="B321" s="1"/>
      <c r="D321" s="1"/>
      <c r="F321" s="1"/>
      <c r="J321" s="1"/>
      <c r="K321" s="1"/>
      <c r="L321" s="1"/>
      <c r="M321" s="1"/>
      <c r="N321" s="1"/>
    </row>
    <row r="322" ht="15.75" customHeight="1">
      <c r="B322" s="1"/>
      <c r="D322" s="1"/>
      <c r="F322" s="1"/>
      <c r="J322" s="1"/>
      <c r="K322" s="1"/>
      <c r="L322" s="1"/>
      <c r="M322" s="1"/>
      <c r="N322" s="1"/>
    </row>
    <row r="323" ht="15.75" customHeight="1">
      <c r="B323" s="1"/>
      <c r="D323" s="1"/>
      <c r="F323" s="1"/>
      <c r="J323" s="1"/>
      <c r="K323" s="1"/>
      <c r="L323" s="1"/>
      <c r="M323" s="1"/>
      <c r="N323" s="1"/>
    </row>
    <row r="324" ht="15.75" customHeight="1">
      <c r="B324" s="1"/>
      <c r="D324" s="1"/>
      <c r="F324" s="1"/>
      <c r="J324" s="1"/>
      <c r="K324" s="1"/>
      <c r="L324" s="1"/>
      <c r="M324" s="1"/>
      <c r="N324" s="1"/>
    </row>
    <row r="325" ht="15.75" customHeight="1">
      <c r="B325" s="1"/>
      <c r="D325" s="1"/>
      <c r="F325" s="1"/>
      <c r="J325" s="1"/>
      <c r="K325" s="1"/>
      <c r="L325" s="1"/>
      <c r="M325" s="1"/>
      <c r="N325" s="1"/>
    </row>
    <row r="326" ht="15.75" customHeight="1">
      <c r="B326" s="1"/>
      <c r="D326" s="1"/>
      <c r="F326" s="1"/>
      <c r="J326" s="1"/>
      <c r="K326" s="1"/>
      <c r="L326" s="1"/>
      <c r="M326" s="1"/>
      <c r="N326" s="1"/>
    </row>
    <row r="327" ht="15.75" customHeight="1">
      <c r="B327" s="1"/>
      <c r="D327" s="1"/>
      <c r="F327" s="1"/>
      <c r="J327" s="1"/>
      <c r="K327" s="1"/>
      <c r="L327" s="1"/>
      <c r="M327" s="1"/>
      <c r="N327" s="1"/>
    </row>
    <row r="328" ht="15.75" customHeight="1">
      <c r="B328" s="1"/>
      <c r="D328" s="1"/>
      <c r="F328" s="1"/>
      <c r="J328" s="1"/>
      <c r="K328" s="1"/>
      <c r="L328" s="1"/>
      <c r="M328" s="1"/>
      <c r="N328" s="1"/>
    </row>
    <row r="329" ht="15.75" customHeight="1">
      <c r="B329" s="1"/>
      <c r="D329" s="1"/>
      <c r="F329" s="1"/>
      <c r="J329" s="1"/>
      <c r="K329" s="1"/>
      <c r="L329" s="1"/>
      <c r="M329" s="1"/>
      <c r="N329" s="1"/>
    </row>
    <row r="330" ht="15.75" customHeight="1">
      <c r="B330" s="1"/>
      <c r="D330" s="1"/>
      <c r="F330" s="1"/>
      <c r="J330" s="1"/>
      <c r="K330" s="1"/>
      <c r="L330" s="1"/>
      <c r="M330" s="1"/>
      <c r="N330" s="1"/>
    </row>
    <row r="331" ht="15.75" customHeight="1">
      <c r="B331" s="1"/>
      <c r="D331" s="1"/>
      <c r="F331" s="1"/>
      <c r="J331" s="1"/>
      <c r="K331" s="1"/>
      <c r="L331" s="1"/>
      <c r="M331" s="1"/>
      <c r="N331" s="1"/>
    </row>
    <row r="332" ht="15.75" customHeight="1">
      <c r="B332" s="1"/>
      <c r="D332" s="1"/>
      <c r="F332" s="1"/>
      <c r="J332" s="1"/>
      <c r="K332" s="1"/>
      <c r="L332" s="1"/>
      <c r="M332" s="1"/>
      <c r="N332" s="1"/>
    </row>
    <row r="333" ht="15.75" customHeight="1">
      <c r="B333" s="1"/>
      <c r="D333" s="1"/>
      <c r="F333" s="1"/>
      <c r="J333" s="1"/>
      <c r="K333" s="1"/>
      <c r="L333" s="1"/>
      <c r="M333" s="1"/>
      <c r="N333" s="1"/>
    </row>
    <row r="334" ht="15.75" customHeight="1">
      <c r="B334" s="1"/>
      <c r="D334" s="1"/>
      <c r="F334" s="1"/>
      <c r="J334" s="1"/>
      <c r="K334" s="1"/>
      <c r="L334" s="1"/>
      <c r="M334" s="1"/>
      <c r="N334" s="1"/>
    </row>
    <row r="335" ht="15.75" customHeight="1">
      <c r="B335" s="1"/>
      <c r="D335" s="1"/>
      <c r="F335" s="1"/>
      <c r="J335" s="1"/>
      <c r="K335" s="1"/>
      <c r="L335" s="1"/>
      <c r="M335" s="1"/>
      <c r="N335" s="1"/>
    </row>
    <row r="336" ht="15.75" customHeight="1">
      <c r="B336" s="1"/>
      <c r="D336" s="1"/>
      <c r="F336" s="1"/>
      <c r="J336" s="1"/>
      <c r="K336" s="1"/>
      <c r="L336" s="1"/>
      <c r="M336" s="1"/>
      <c r="N336" s="1"/>
    </row>
    <row r="337" ht="15.75" customHeight="1">
      <c r="B337" s="1"/>
      <c r="D337" s="1"/>
      <c r="F337" s="1"/>
      <c r="J337" s="1"/>
      <c r="K337" s="1"/>
      <c r="L337" s="1"/>
      <c r="M337" s="1"/>
      <c r="N337" s="1"/>
    </row>
    <row r="338" ht="15.75" customHeight="1">
      <c r="B338" s="1"/>
      <c r="D338" s="1"/>
      <c r="F338" s="1"/>
      <c r="J338" s="1"/>
      <c r="K338" s="1"/>
      <c r="L338" s="1"/>
      <c r="M338" s="1"/>
      <c r="N338" s="1"/>
    </row>
    <row r="339" ht="15.75" customHeight="1">
      <c r="B339" s="1"/>
      <c r="D339" s="1"/>
      <c r="F339" s="1"/>
      <c r="J339" s="1"/>
      <c r="K339" s="1"/>
      <c r="L339" s="1"/>
      <c r="M339" s="1"/>
      <c r="N339" s="1"/>
    </row>
    <row r="340" ht="15.75" customHeight="1">
      <c r="B340" s="1"/>
      <c r="D340" s="1"/>
      <c r="F340" s="1"/>
      <c r="J340" s="1"/>
      <c r="K340" s="1"/>
      <c r="L340" s="1"/>
      <c r="M340" s="1"/>
      <c r="N340" s="1"/>
    </row>
    <row r="341" ht="15.75" customHeight="1">
      <c r="B341" s="1"/>
      <c r="D341" s="1"/>
      <c r="F341" s="1"/>
      <c r="J341" s="1"/>
      <c r="K341" s="1"/>
      <c r="L341" s="1"/>
      <c r="M341" s="1"/>
      <c r="N341" s="1"/>
    </row>
    <row r="342" ht="15.75" customHeight="1">
      <c r="B342" s="1"/>
      <c r="D342" s="1"/>
      <c r="F342" s="1"/>
      <c r="J342" s="1"/>
      <c r="K342" s="1"/>
      <c r="L342" s="1"/>
      <c r="M342" s="1"/>
      <c r="N342" s="1"/>
    </row>
    <row r="343" ht="15.75" customHeight="1">
      <c r="B343" s="1"/>
      <c r="D343" s="1"/>
      <c r="F343" s="1"/>
      <c r="J343" s="1"/>
      <c r="K343" s="1"/>
      <c r="L343" s="1"/>
      <c r="M343" s="1"/>
      <c r="N343" s="1"/>
    </row>
    <row r="344" ht="15.75" customHeight="1">
      <c r="B344" s="1"/>
      <c r="D344" s="1"/>
      <c r="F344" s="1"/>
      <c r="J344" s="1"/>
      <c r="K344" s="1"/>
      <c r="L344" s="1"/>
      <c r="M344" s="1"/>
      <c r="N344" s="1"/>
    </row>
    <row r="345" ht="15.75" customHeight="1">
      <c r="B345" s="1"/>
      <c r="D345" s="1"/>
      <c r="F345" s="1"/>
      <c r="J345" s="1"/>
      <c r="K345" s="1"/>
      <c r="L345" s="1"/>
      <c r="M345" s="1"/>
      <c r="N345" s="1"/>
    </row>
    <row r="346" ht="15.75" customHeight="1">
      <c r="B346" s="1"/>
      <c r="D346" s="1"/>
      <c r="F346" s="1"/>
      <c r="J346" s="1"/>
      <c r="K346" s="1"/>
      <c r="L346" s="1"/>
      <c r="M346" s="1"/>
      <c r="N346" s="1"/>
    </row>
    <row r="347" ht="15.75" customHeight="1">
      <c r="B347" s="1"/>
      <c r="D347" s="1"/>
      <c r="F347" s="1"/>
      <c r="J347" s="1"/>
      <c r="K347" s="1"/>
      <c r="L347" s="1"/>
      <c r="M347" s="1"/>
      <c r="N347" s="1"/>
    </row>
    <row r="348" ht="15.75" customHeight="1">
      <c r="B348" s="1"/>
      <c r="D348" s="1"/>
      <c r="F348" s="1"/>
      <c r="J348" s="1"/>
      <c r="K348" s="1"/>
      <c r="L348" s="1"/>
      <c r="M348" s="1"/>
      <c r="N348" s="1"/>
    </row>
    <row r="349" ht="15.75" customHeight="1">
      <c r="B349" s="1"/>
      <c r="D349" s="1"/>
      <c r="F349" s="1"/>
      <c r="J349" s="1"/>
      <c r="K349" s="1"/>
      <c r="L349" s="1"/>
      <c r="M349" s="1"/>
      <c r="N349" s="1"/>
    </row>
    <row r="350" ht="15.75" customHeight="1">
      <c r="B350" s="1"/>
      <c r="D350" s="1"/>
      <c r="F350" s="1"/>
      <c r="J350" s="1"/>
      <c r="K350" s="1"/>
      <c r="L350" s="1"/>
      <c r="M350" s="1"/>
      <c r="N350" s="1"/>
    </row>
    <row r="351" ht="15.75" customHeight="1">
      <c r="B351" s="1"/>
      <c r="D351" s="1"/>
      <c r="F351" s="1"/>
      <c r="J351" s="1"/>
      <c r="K351" s="1"/>
      <c r="L351" s="1"/>
      <c r="M351" s="1"/>
      <c r="N351" s="1"/>
    </row>
    <row r="352" ht="15.75" customHeight="1">
      <c r="B352" s="1"/>
      <c r="D352" s="1"/>
      <c r="F352" s="1"/>
      <c r="J352" s="1"/>
      <c r="K352" s="1"/>
      <c r="L352" s="1"/>
      <c r="M352" s="1"/>
      <c r="N352" s="1"/>
    </row>
    <row r="353" ht="15.75" customHeight="1">
      <c r="B353" s="1"/>
      <c r="D353" s="1"/>
      <c r="F353" s="1"/>
      <c r="J353" s="1"/>
      <c r="K353" s="1"/>
      <c r="L353" s="1"/>
      <c r="M353" s="1"/>
      <c r="N353" s="1"/>
    </row>
    <row r="354" ht="15.75" customHeight="1">
      <c r="B354" s="1"/>
      <c r="D354" s="1"/>
      <c r="F354" s="1"/>
      <c r="J354" s="1"/>
      <c r="K354" s="1"/>
      <c r="L354" s="1"/>
      <c r="M354" s="1"/>
      <c r="N354" s="1"/>
    </row>
    <row r="355" ht="15.75" customHeight="1">
      <c r="B355" s="1"/>
      <c r="D355" s="1"/>
      <c r="F355" s="1"/>
      <c r="J355" s="1"/>
      <c r="K355" s="1"/>
      <c r="L355" s="1"/>
      <c r="M355" s="1"/>
      <c r="N355" s="1"/>
    </row>
    <row r="356" ht="15.75" customHeight="1">
      <c r="B356" s="1"/>
      <c r="D356" s="1"/>
      <c r="F356" s="1"/>
      <c r="J356" s="1"/>
      <c r="K356" s="1"/>
      <c r="L356" s="1"/>
      <c r="M356" s="1"/>
      <c r="N356" s="1"/>
    </row>
    <row r="357" ht="15.75" customHeight="1">
      <c r="B357" s="1"/>
      <c r="D357" s="1"/>
      <c r="F357" s="1"/>
      <c r="J357" s="1"/>
      <c r="K357" s="1"/>
      <c r="L357" s="1"/>
      <c r="M357" s="1"/>
      <c r="N357" s="1"/>
    </row>
    <row r="358" ht="15.75" customHeight="1">
      <c r="B358" s="1"/>
      <c r="D358" s="1"/>
      <c r="F358" s="1"/>
      <c r="J358" s="1"/>
      <c r="K358" s="1"/>
      <c r="L358" s="1"/>
      <c r="M358" s="1"/>
      <c r="N358" s="1"/>
    </row>
    <row r="359" ht="15.75" customHeight="1">
      <c r="B359" s="1"/>
      <c r="D359" s="1"/>
      <c r="F359" s="1"/>
      <c r="J359" s="1"/>
      <c r="K359" s="1"/>
      <c r="L359" s="1"/>
      <c r="M359" s="1"/>
      <c r="N359" s="1"/>
    </row>
    <row r="360" ht="15.75" customHeight="1">
      <c r="B360" s="1"/>
      <c r="D360" s="1"/>
      <c r="F360" s="1"/>
      <c r="J360" s="1"/>
      <c r="K360" s="1"/>
      <c r="L360" s="1"/>
      <c r="M360" s="1"/>
      <c r="N360" s="1"/>
    </row>
    <row r="361" ht="15.75" customHeight="1">
      <c r="B361" s="1"/>
      <c r="D361" s="1"/>
      <c r="F361" s="1"/>
      <c r="J361" s="1"/>
      <c r="K361" s="1"/>
      <c r="L361" s="1"/>
      <c r="M361" s="1"/>
      <c r="N361" s="1"/>
    </row>
    <row r="362" ht="15.75" customHeight="1">
      <c r="B362" s="1"/>
      <c r="D362" s="1"/>
      <c r="F362" s="1"/>
      <c r="J362" s="1"/>
      <c r="K362" s="1"/>
      <c r="L362" s="1"/>
      <c r="M362" s="1"/>
      <c r="N362" s="1"/>
    </row>
    <row r="363" ht="15.75" customHeight="1">
      <c r="B363" s="1"/>
      <c r="D363" s="1"/>
      <c r="F363" s="1"/>
      <c r="J363" s="1"/>
      <c r="K363" s="1"/>
      <c r="L363" s="1"/>
      <c r="M363" s="1"/>
      <c r="N363" s="1"/>
    </row>
    <row r="364" ht="15.75" customHeight="1">
      <c r="B364" s="1"/>
      <c r="D364" s="1"/>
      <c r="F364" s="1"/>
      <c r="J364" s="1"/>
      <c r="K364" s="1"/>
      <c r="L364" s="1"/>
      <c r="M364" s="1"/>
      <c r="N364" s="1"/>
    </row>
    <row r="365" ht="15.75" customHeight="1">
      <c r="B365" s="1"/>
      <c r="D365" s="1"/>
      <c r="F365" s="1"/>
      <c r="J365" s="1"/>
      <c r="K365" s="1"/>
      <c r="L365" s="1"/>
      <c r="M365" s="1"/>
      <c r="N365" s="1"/>
    </row>
    <row r="366" ht="15.75" customHeight="1">
      <c r="B366" s="1"/>
      <c r="D366" s="1"/>
      <c r="F366" s="1"/>
      <c r="J366" s="1"/>
      <c r="K366" s="1"/>
      <c r="L366" s="1"/>
      <c r="M366" s="1"/>
      <c r="N366" s="1"/>
    </row>
    <row r="367" ht="15.75" customHeight="1">
      <c r="B367" s="1"/>
      <c r="D367" s="1"/>
      <c r="F367" s="1"/>
      <c r="J367" s="1"/>
      <c r="K367" s="1"/>
      <c r="L367" s="1"/>
      <c r="M367" s="1"/>
      <c r="N367" s="1"/>
    </row>
    <row r="368" ht="15.75" customHeight="1">
      <c r="B368" s="1"/>
      <c r="D368" s="1"/>
      <c r="F368" s="1"/>
      <c r="J368" s="1"/>
      <c r="K368" s="1"/>
      <c r="L368" s="1"/>
      <c r="M368" s="1"/>
      <c r="N368" s="1"/>
    </row>
    <row r="369" ht="15.75" customHeight="1">
      <c r="B369" s="1"/>
      <c r="D369" s="1"/>
      <c r="F369" s="1"/>
      <c r="J369" s="1"/>
      <c r="K369" s="1"/>
      <c r="L369" s="1"/>
      <c r="M369" s="1"/>
      <c r="N369" s="1"/>
    </row>
    <row r="370" ht="15.75" customHeight="1">
      <c r="B370" s="1"/>
      <c r="D370" s="1"/>
      <c r="F370" s="1"/>
      <c r="J370" s="1"/>
      <c r="K370" s="1"/>
      <c r="L370" s="1"/>
      <c r="M370" s="1"/>
      <c r="N370" s="1"/>
    </row>
    <row r="371" ht="15.75" customHeight="1">
      <c r="B371" s="1"/>
      <c r="D371" s="1"/>
      <c r="F371" s="1"/>
      <c r="J371" s="1"/>
      <c r="K371" s="1"/>
      <c r="L371" s="1"/>
      <c r="M371" s="1"/>
      <c r="N371" s="1"/>
    </row>
    <row r="372" ht="15.75" customHeight="1">
      <c r="B372" s="1"/>
      <c r="D372" s="1"/>
      <c r="F372" s="1"/>
      <c r="J372" s="1"/>
      <c r="K372" s="1"/>
      <c r="L372" s="1"/>
      <c r="M372" s="1"/>
      <c r="N372" s="1"/>
    </row>
    <row r="373" ht="15.75" customHeight="1">
      <c r="B373" s="1"/>
      <c r="D373" s="1"/>
      <c r="F373" s="1"/>
      <c r="J373" s="1"/>
      <c r="K373" s="1"/>
      <c r="L373" s="1"/>
      <c r="M373" s="1"/>
      <c r="N373" s="1"/>
    </row>
    <row r="374" ht="15.75" customHeight="1">
      <c r="B374" s="1"/>
      <c r="D374" s="1"/>
      <c r="F374" s="1"/>
      <c r="J374" s="1"/>
      <c r="K374" s="1"/>
      <c r="L374" s="1"/>
      <c r="M374" s="1"/>
      <c r="N374" s="1"/>
    </row>
    <row r="375" ht="15.75" customHeight="1">
      <c r="B375" s="1"/>
      <c r="D375" s="1"/>
      <c r="F375" s="1"/>
      <c r="J375" s="1"/>
      <c r="K375" s="1"/>
      <c r="L375" s="1"/>
      <c r="M375" s="1"/>
      <c r="N375" s="1"/>
    </row>
    <row r="376" ht="15.75" customHeight="1">
      <c r="B376" s="1"/>
      <c r="D376" s="1"/>
      <c r="F376" s="1"/>
      <c r="J376" s="1"/>
      <c r="K376" s="1"/>
      <c r="L376" s="1"/>
      <c r="M376" s="1"/>
      <c r="N376" s="1"/>
    </row>
    <row r="377" ht="15.75" customHeight="1">
      <c r="B377" s="1"/>
      <c r="D377" s="1"/>
      <c r="F377" s="1"/>
      <c r="J377" s="1"/>
      <c r="K377" s="1"/>
      <c r="L377" s="1"/>
      <c r="M377" s="1"/>
      <c r="N377" s="1"/>
    </row>
    <row r="378" ht="15.75" customHeight="1">
      <c r="B378" s="1"/>
      <c r="D378" s="1"/>
      <c r="F378" s="1"/>
      <c r="J378" s="1"/>
      <c r="K378" s="1"/>
      <c r="L378" s="1"/>
      <c r="M378" s="1"/>
      <c r="N378" s="1"/>
    </row>
    <row r="379" ht="15.75" customHeight="1">
      <c r="B379" s="1"/>
      <c r="D379" s="1"/>
      <c r="F379" s="1"/>
      <c r="J379" s="1"/>
      <c r="K379" s="1"/>
      <c r="L379" s="1"/>
      <c r="M379" s="1"/>
      <c r="N379" s="1"/>
    </row>
    <row r="380" ht="15.75" customHeight="1">
      <c r="B380" s="1"/>
      <c r="D380" s="1"/>
      <c r="F380" s="1"/>
      <c r="J380" s="1"/>
      <c r="K380" s="1"/>
      <c r="L380" s="1"/>
      <c r="M380" s="1"/>
      <c r="N380" s="1"/>
    </row>
    <row r="381" ht="15.75" customHeight="1">
      <c r="B381" s="1"/>
      <c r="D381" s="1"/>
      <c r="F381" s="1"/>
      <c r="J381" s="1"/>
      <c r="K381" s="1"/>
      <c r="L381" s="1"/>
      <c r="M381" s="1"/>
      <c r="N381" s="1"/>
    </row>
    <row r="382" ht="15.75" customHeight="1">
      <c r="B382" s="1"/>
      <c r="D382" s="1"/>
      <c r="F382" s="1"/>
      <c r="J382" s="1"/>
      <c r="K382" s="1"/>
      <c r="L382" s="1"/>
      <c r="M382" s="1"/>
      <c r="N382" s="1"/>
    </row>
    <row r="383" ht="15.75" customHeight="1">
      <c r="B383" s="1"/>
      <c r="D383" s="1"/>
      <c r="F383" s="1"/>
      <c r="J383" s="1"/>
      <c r="K383" s="1"/>
      <c r="L383" s="1"/>
      <c r="M383" s="1"/>
      <c r="N383" s="1"/>
    </row>
    <row r="384" ht="15.75" customHeight="1">
      <c r="B384" s="1"/>
      <c r="D384" s="1"/>
      <c r="F384" s="1"/>
      <c r="J384" s="1"/>
      <c r="K384" s="1"/>
      <c r="L384" s="1"/>
      <c r="M384" s="1"/>
      <c r="N384" s="1"/>
    </row>
    <row r="385" ht="15.75" customHeight="1">
      <c r="B385" s="1"/>
      <c r="D385" s="1"/>
      <c r="F385" s="1"/>
      <c r="J385" s="1"/>
      <c r="K385" s="1"/>
      <c r="L385" s="1"/>
      <c r="M385" s="1"/>
      <c r="N385" s="1"/>
    </row>
    <row r="386" ht="15.75" customHeight="1">
      <c r="B386" s="1"/>
      <c r="D386" s="1"/>
      <c r="F386" s="1"/>
      <c r="J386" s="1"/>
      <c r="K386" s="1"/>
      <c r="L386" s="1"/>
      <c r="M386" s="1"/>
      <c r="N386" s="1"/>
    </row>
    <row r="387" ht="15.75" customHeight="1">
      <c r="B387" s="1"/>
      <c r="D387" s="1"/>
      <c r="F387" s="1"/>
      <c r="J387" s="1"/>
      <c r="K387" s="1"/>
      <c r="L387" s="1"/>
      <c r="M387" s="1"/>
      <c r="N387" s="1"/>
    </row>
    <row r="388" ht="15.75" customHeight="1">
      <c r="B388" s="1"/>
      <c r="D388" s="1"/>
      <c r="F388" s="1"/>
      <c r="J388" s="1"/>
      <c r="K388" s="1"/>
      <c r="L388" s="1"/>
      <c r="M388" s="1"/>
      <c r="N388" s="1"/>
    </row>
    <row r="389" ht="15.75" customHeight="1">
      <c r="B389" s="1"/>
      <c r="D389" s="1"/>
      <c r="F389" s="1"/>
      <c r="J389" s="1"/>
      <c r="K389" s="1"/>
      <c r="L389" s="1"/>
      <c r="M389" s="1"/>
      <c r="N389" s="1"/>
    </row>
    <row r="390" ht="15.75" customHeight="1">
      <c r="B390" s="1"/>
      <c r="D390" s="1"/>
      <c r="F390" s="1"/>
      <c r="J390" s="1"/>
      <c r="K390" s="1"/>
      <c r="L390" s="1"/>
      <c r="M390" s="1"/>
      <c r="N390" s="1"/>
    </row>
    <row r="391" ht="15.75" customHeight="1">
      <c r="B391" s="1"/>
      <c r="D391" s="1"/>
      <c r="F391" s="1"/>
      <c r="J391" s="1"/>
      <c r="K391" s="1"/>
      <c r="L391" s="1"/>
      <c r="M391" s="1"/>
      <c r="N391" s="1"/>
    </row>
    <row r="392" ht="15.75" customHeight="1">
      <c r="B392" s="1"/>
      <c r="D392" s="1"/>
      <c r="F392" s="1"/>
      <c r="J392" s="1"/>
      <c r="K392" s="1"/>
      <c r="L392" s="1"/>
      <c r="M392" s="1"/>
      <c r="N392" s="1"/>
    </row>
    <row r="393" ht="15.75" customHeight="1">
      <c r="B393" s="1"/>
      <c r="D393" s="1"/>
      <c r="F393" s="1"/>
      <c r="J393" s="1"/>
      <c r="K393" s="1"/>
      <c r="L393" s="1"/>
      <c r="M393" s="1"/>
      <c r="N393" s="1"/>
    </row>
    <row r="394" ht="15.75" customHeight="1">
      <c r="B394" s="1"/>
      <c r="D394" s="1"/>
      <c r="F394" s="1"/>
      <c r="J394" s="1"/>
      <c r="K394" s="1"/>
      <c r="L394" s="1"/>
      <c r="M394" s="1"/>
      <c r="N394" s="1"/>
    </row>
    <row r="395" ht="15.75" customHeight="1">
      <c r="B395" s="1"/>
      <c r="D395" s="1"/>
      <c r="F395" s="1"/>
      <c r="J395" s="1"/>
      <c r="K395" s="1"/>
      <c r="L395" s="1"/>
      <c r="M395" s="1"/>
      <c r="N395" s="1"/>
    </row>
    <row r="396" ht="15.75" customHeight="1">
      <c r="B396" s="1"/>
      <c r="D396" s="1"/>
      <c r="F396" s="1"/>
      <c r="J396" s="1"/>
      <c r="K396" s="1"/>
      <c r="L396" s="1"/>
      <c r="M396" s="1"/>
      <c r="N396" s="1"/>
    </row>
    <row r="397" ht="15.75" customHeight="1">
      <c r="B397" s="1"/>
      <c r="D397" s="1"/>
      <c r="F397" s="1"/>
      <c r="J397" s="1"/>
      <c r="K397" s="1"/>
      <c r="L397" s="1"/>
      <c r="M397" s="1"/>
      <c r="N397" s="1"/>
    </row>
    <row r="398" ht="15.75" customHeight="1">
      <c r="B398" s="1"/>
      <c r="D398" s="1"/>
      <c r="F398" s="1"/>
      <c r="J398" s="1"/>
      <c r="K398" s="1"/>
      <c r="L398" s="1"/>
      <c r="M398" s="1"/>
      <c r="N398" s="1"/>
    </row>
    <row r="399" ht="15.75" customHeight="1">
      <c r="B399" s="1"/>
      <c r="D399" s="1"/>
      <c r="F399" s="1"/>
      <c r="J399" s="1"/>
      <c r="K399" s="1"/>
      <c r="L399" s="1"/>
      <c r="M399" s="1"/>
      <c r="N399" s="1"/>
    </row>
    <row r="400" ht="15.75" customHeight="1">
      <c r="B400" s="1"/>
      <c r="D400" s="1"/>
      <c r="F400" s="1"/>
      <c r="J400" s="1"/>
      <c r="K400" s="1"/>
      <c r="L400" s="1"/>
      <c r="M400" s="1"/>
      <c r="N400" s="1"/>
    </row>
    <row r="401" ht="15.75" customHeight="1">
      <c r="B401" s="1"/>
      <c r="D401" s="1"/>
      <c r="F401" s="1"/>
      <c r="J401" s="1"/>
      <c r="K401" s="1"/>
      <c r="L401" s="1"/>
      <c r="M401" s="1"/>
      <c r="N401" s="1"/>
    </row>
    <row r="402" ht="15.75" customHeight="1">
      <c r="B402" s="1"/>
      <c r="D402" s="1"/>
      <c r="F402" s="1"/>
      <c r="J402" s="1"/>
      <c r="K402" s="1"/>
      <c r="L402" s="1"/>
      <c r="M402" s="1"/>
      <c r="N402" s="1"/>
    </row>
    <row r="403" ht="15.75" customHeight="1">
      <c r="B403" s="1"/>
      <c r="D403" s="1"/>
      <c r="F403" s="1"/>
      <c r="J403" s="1"/>
      <c r="K403" s="1"/>
      <c r="L403" s="1"/>
      <c r="M403" s="1"/>
      <c r="N403" s="1"/>
    </row>
    <row r="404" ht="15.75" customHeight="1">
      <c r="B404" s="1"/>
      <c r="D404" s="1"/>
      <c r="F404" s="1"/>
      <c r="J404" s="1"/>
      <c r="K404" s="1"/>
      <c r="L404" s="1"/>
      <c r="M404" s="1"/>
      <c r="N404" s="1"/>
    </row>
    <row r="405" ht="15.75" customHeight="1">
      <c r="B405" s="1"/>
      <c r="D405" s="1"/>
      <c r="F405" s="1"/>
      <c r="J405" s="1"/>
      <c r="K405" s="1"/>
      <c r="L405" s="1"/>
      <c r="M405" s="1"/>
      <c r="N405" s="1"/>
    </row>
    <row r="406" ht="15.75" customHeight="1">
      <c r="B406" s="1"/>
      <c r="D406" s="1"/>
      <c r="F406" s="1"/>
      <c r="J406" s="1"/>
      <c r="K406" s="1"/>
      <c r="L406" s="1"/>
      <c r="M406" s="1"/>
      <c r="N406" s="1"/>
    </row>
    <row r="407" ht="15.75" customHeight="1">
      <c r="B407" s="1"/>
      <c r="D407" s="1"/>
      <c r="F407" s="1"/>
      <c r="J407" s="1"/>
      <c r="K407" s="1"/>
      <c r="L407" s="1"/>
      <c r="M407" s="1"/>
      <c r="N407" s="1"/>
    </row>
    <row r="408" ht="15.75" customHeight="1">
      <c r="B408" s="1"/>
      <c r="D408" s="1"/>
      <c r="F408" s="1"/>
      <c r="J408" s="1"/>
      <c r="K408" s="1"/>
      <c r="L408" s="1"/>
      <c r="M408" s="1"/>
      <c r="N408" s="1"/>
    </row>
    <row r="409" ht="15.75" customHeight="1">
      <c r="B409" s="1"/>
      <c r="D409" s="1"/>
      <c r="F409" s="1"/>
      <c r="J409" s="1"/>
      <c r="K409" s="1"/>
      <c r="L409" s="1"/>
      <c r="M409" s="1"/>
      <c r="N409" s="1"/>
    </row>
    <row r="410" ht="15.75" customHeight="1">
      <c r="B410" s="1"/>
      <c r="D410" s="1"/>
      <c r="F410" s="1"/>
      <c r="J410" s="1"/>
      <c r="K410" s="1"/>
      <c r="L410" s="1"/>
      <c r="M410" s="1"/>
      <c r="N410" s="1"/>
    </row>
    <row r="411" ht="15.75" customHeight="1">
      <c r="B411" s="1"/>
      <c r="D411" s="1"/>
      <c r="F411" s="1"/>
      <c r="J411" s="1"/>
      <c r="K411" s="1"/>
      <c r="L411" s="1"/>
      <c r="M411" s="1"/>
      <c r="N411" s="1"/>
    </row>
    <row r="412" ht="15.75" customHeight="1">
      <c r="B412" s="1"/>
      <c r="D412" s="1"/>
      <c r="F412" s="1"/>
      <c r="J412" s="1"/>
      <c r="K412" s="1"/>
      <c r="L412" s="1"/>
      <c r="M412" s="1"/>
      <c r="N412" s="1"/>
    </row>
    <row r="413" ht="15.75" customHeight="1">
      <c r="B413" s="1"/>
      <c r="D413" s="1"/>
      <c r="F413" s="1"/>
      <c r="J413" s="1"/>
      <c r="K413" s="1"/>
      <c r="L413" s="1"/>
      <c r="M413" s="1"/>
      <c r="N413" s="1"/>
    </row>
    <row r="414" ht="15.75" customHeight="1">
      <c r="B414" s="1"/>
      <c r="D414" s="1"/>
      <c r="F414" s="1"/>
      <c r="J414" s="1"/>
      <c r="K414" s="1"/>
      <c r="L414" s="1"/>
      <c r="M414" s="1"/>
      <c r="N414" s="1"/>
    </row>
    <row r="415" ht="15.75" customHeight="1">
      <c r="B415" s="1"/>
      <c r="D415" s="1"/>
      <c r="F415" s="1"/>
      <c r="J415" s="1"/>
      <c r="K415" s="1"/>
      <c r="L415" s="1"/>
      <c r="M415" s="1"/>
      <c r="N415" s="1"/>
    </row>
    <row r="416" ht="15.75" customHeight="1">
      <c r="B416" s="1"/>
      <c r="D416" s="1"/>
      <c r="F416" s="1"/>
      <c r="J416" s="1"/>
      <c r="K416" s="1"/>
      <c r="L416" s="1"/>
      <c r="M416" s="1"/>
      <c r="N416" s="1"/>
    </row>
    <row r="417" ht="15.75" customHeight="1">
      <c r="B417" s="1"/>
      <c r="D417" s="1"/>
      <c r="F417" s="1"/>
      <c r="J417" s="1"/>
      <c r="K417" s="1"/>
      <c r="L417" s="1"/>
      <c r="M417" s="1"/>
      <c r="N417" s="1"/>
    </row>
    <row r="418" ht="15.75" customHeight="1">
      <c r="B418" s="1"/>
      <c r="D418" s="1"/>
      <c r="F418" s="1"/>
      <c r="J418" s="1"/>
      <c r="K418" s="1"/>
      <c r="L418" s="1"/>
      <c r="M418" s="1"/>
      <c r="N418" s="1"/>
    </row>
    <row r="419" ht="15.75" customHeight="1">
      <c r="B419" s="1"/>
      <c r="D419" s="1"/>
      <c r="F419" s="1"/>
      <c r="J419" s="1"/>
      <c r="K419" s="1"/>
      <c r="L419" s="1"/>
      <c r="M419" s="1"/>
      <c r="N419" s="1"/>
    </row>
    <row r="420" ht="15.75" customHeight="1">
      <c r="B420" s="1"/>
      <c r="D420" s="1"/>
      <c r="F420" s="1"/>
      <c r="J420" s="1"/>
      <c r="K420" s="1"/>
      <c r="L420" s="1"/>
      <c r="M420" s="1"/>
      <c r="N420" s="1"/>
    </row>
    <row r="421" ht="15.75" customHeight="1">
      <c r="B421" s="1"/>
      <c r="D421" s="1"/>
      <c r="F421" s="1"/>
      <c r="J421" s="1"/>
      <c r="K421" s="1"/>
      <c r="L421" s="1"/>
      <c r="M421" s="1"/>
      <c r="N421" s="1"/>
    </row>
    <row r="422" ht="15.75" customHeight="1">
      <c r="B422" s="1"/>
      <c r="D422" s="1"/>
      <c r="F422" s="1"/>
      <c r="J422" s="1"/>
      <c r="K422" s="1"/>
      <c r="L422" s="1"/>
      <c r="M422" s="1"/>
      <c r="N422" s="1"/>
    </row>
    <row r="423" ht="15.75" customHeight="1">
      <c r="B423" s="1"/>
      <c r="D423" s="1"/>
      <c r="F423" s="1"/>
      <c r="J423" s="1"/>
      <c r="K423" s="1"/>
      <c r="L423" s="1"/>
      <c r="M423" s="1"/>
      <c r="N423" s="1"/>
    </row>
    <row r="424" ht="15.75" customHeight="1">
      <c r="B424" s="1"/>
      <c r="D424" s="1"/>
      <c r="F424" s="1"/>
      <c r="J424" s="1"/>
      <c r="K424" s="1"/>
      <c r="L424" s="1"/>
      <c r="M424" s="1"/>
      <c r="N424" s="1"/>
    </row>
    <row r="425" ht="15.75" customHeight="1">
      <c r="B425" s="1"/>
      <c r="D425" s="1"/>
      <c r="F425" s="1"/>
      <c r="J425" s="1"/>
      <c r="K425" s="1"/>
      <c r="L425" s="1"/>
      <c r="M425" s="1"/>
      <c r="N425" s="1"/>
    </row>
    <row r="426" ht="15.75" customHeight="1">
      <c r="B426" s="1"/>
      <c r="D426" s="1"/>
      <c r="F426" s="1"/>
      <c r="J426" s="1"/>
      <c r="K426" s="1"/>
      <c r="L426" s="1"/>
      <c r="M426" s="1"/>
      <c r="N426" s="1"/>
    </row>
    <row r="427" ht="15.75" customHeight="1">
      <c r="B427" s="1"/>
      <c r="D427" s="1"/>
      <c r="F427" s="1"/>
      <c r="J427" s="1"/>
      <c r="K427" s="1"/>
      <c r="L427" s="1"/>
      <c r="M427" s="1"/>
      <c r="N427" s="1"/>
    </row>
    <row r="428" ht="15.75" customHeight="1">
      <c r="B428" s="1"/>
      <c r="D428" s="1"/>
      <c r="F428" s="1"/>
      <c r="J428" s="1"/>
      <c r="K428" s="1"/>
      <c r="L428" s="1"/>
      <c r="M428" s="1"/>
      <c r="N428" s="1"/>
    </row>
    <row r="429" ht="15.75" customHeight="1">
      <c r="B429" s="1"/>
      <c r="D429" s="1"/>
      <c r="F429" s="1"/>
      <c r="J429" s="1"/>
      <c r="K429" s="1"/>
      <c r="L429" s="1"/>
      <c r="M429" s="1"/>
      <c r="N429" s="1"/>
    </row>
    <row r="430" ht="15.75" customHeight="1">
      <c r="B430" s="1"/>
      <c r="D430" s="1"/>
      <c r="F430" s="1"/>
      <c r="J430" s="1"/>
      <c r="K430" s="1"/>
      <c r="L430" s="1"/>
      <c r="M430" s="1"/>
      <c r="N430" s="1"/>
    </row>
    <row r="431" ht="15.75" customHeight="1">
      <c r="B431" s="1"/>
      <c r="D431" s="1"/>
      <c r="F431" s="1"/>
      <c r="J431" s="1"/>
      <c r="K431" s="1"/>
      <c r="L431" s="1"/>
      <c r="M431" s="1"/>
      <c r="N431" s="1"/>
    </row>
    <row r="432" ht="15.75" customHeight="1">
      <c r="B432" s="1"/>
      <c r="D432" s="1"/>
      <c r="F432" s="1"/>
      <c r="J432" s="1"/>
      <c r="K432" s="1"/>
      <c r="L432" s="1"/>
      <c r="M432" s="1"/>
      <c r="N432" s="1"/>
    </row>
    <row r="433" ht="15.75" customHeight="1">
      <c r="B433" s="1"/>
      <c r="D433" s="1"/>
      <c r="F433" s="1"/>
      <c r="J433" s="1"/>
      <c r="K433" s="1"/>
      <c r="L433" s="1"/>
      <c r="M433" s="1"/>
      <c r="N433" s="1"/>
    </row>
    <row r="434" ht="15.75" customHeight="1">
      <c r="B434" s="1"/>
      <c r="D434" s="1"/>
      <c r="F434" s="1"/>
      <c r="J434" s="1"/>
      <c r="K434" s="1"/>
      <c r="L434" s="1"/>
      <c r="M434" s="1"/>
      <c r="N434" s="1"/>
    </row>
    <row r="435" ht="15.75" customHeight="1">
      <c r="B435" s="1"/>
      <c r="D435" s="1"/>
      <c r="F435" s="1"/>
      <c r="J435" s="1"/>
      <c r="K435" s="1"/>
      <c r="L435" s="1"/>
      <c r="M435" s="1"/>
      <c r="N435" s="1"/>
    </row>
    <row r="436" ht="15.75" customHeight="1">
      <c r="B436" s="1"/>
      <c r="D436" s="1"/>
      <c r="F436" s="1"/>
      <c r="J436" s="1"/>
      <c r="K436" s="1"/>
      <c r="L436" s="1"/>
      <c r="M436" s="1"/>
      <c r="N436" s="1"/>
    </row>
    <row r="437" ht="15.75" customHeight="1">
      <c r="B437" s="1"/>
      <c r="D437" s="1"/>
      <c r="F437" s="1"/>
      <c r="J437" s="1"/>
      <c r="K437" s="1"/>
      <c r="L437" s="1"/>
      <c r="M437" s="1"/>
      <c r="N437" s="1"/>
    </row>
    <row r="438" ht="15.75" customHeight="1">
      <c r="B438" s="1"/>
      <c r="D438" s="1"/>
      <c r="F438" s="1"/>
      <c r="J438" s="1"/>
      <c r="K438" s="1"/>
      <c r="L438" s="1"/>
      <c r="M438" s="1"/>
      <c r="N438" s="1"/>
    </row>
    <row r="439" ht="15.75" customHeight="1">
      <c r="B439" s="1"/>
      <c r="D439" s="1"/>
      <c r="F439" s="1"/>
      <c r="J439" s="1"/>
      <c r="K439" s="1"/>
      <c r="L439" s="1"/>
      <c r="M439" s="1"/>
      <c r="N439" s="1"/>
    </row>
    <row r="440" ht="15.75" customHeight="1">
      <c r="B440" s="1"/>
      <c r="D440" s="1"/>
      <c r="F440" s="1"/>
      <c r="J440" s="1"/>
      <c r="K440" s="1"/>
      <c r="L440" s="1"/>
      <c r="M440" s="1"/>
      <c r="N440" s="1"/>
    </row>
    <row r="441" ht="15.75" customHeight="1">
      <c r="B441" s="1"/>
      <c r="D441" s="1"/>
      <c r="F441" s="1"/>
      <c r="J441" s="1"/>
      <c r="K441" s="1"/>
      <c r="L441" s="1"/>
      <c r="M441" s="1"/>
      <c r="N441" s="1"/>
    </row>
    <row r="442" ht="15.75" customHeight="1">
      <c r="B442" s="1"/>
      <c r="D442" s="1"/>
      <c r="F442" s="1"/>
      <c r="J442" s="1"/>
      <c r="K442" s="1"/>
      <c r="L442" s="1"/>
      <c r="M442" s="1"/>
      <c r="N442" s="1"/>
    </row>
    <row r="443" ht="15.75" customHeight="1">
      <c r="B443" s="1"/>
      <c r="D443" s="1"/>
      <c r="F443" s="1"/>
      <c r="J443" s="1"/>
      <c r="K443" s="1"/>
      <c r="L443" s="1"/>
      <c r="M443" s="1"/>
      <c r="N443" s="1"/>
    </row>
    <row r="444" ht="15.75" customHeight="1">
      <c r="B444" s="1"/>
      <c r="D444" s="1"/>
      <c r="F444" s="1"/>
      <c r="J444" s="1"/>
      <c r="K444" s="1"/>
      <c r="L444" s="1"/>
      <c r="M444" s="1"/>
      <c r="N444" s="1"/>
    </row>
    <row r="445" ht="15.75" customHeight="1">
      <c r="B445" s="1"/>
      <c r="D445" s="1"/>
      <c r="F445" s="1"/>
      <c r="J445" s="1"/>
      <c r="K445" s="1"/>
      <c r="L445" s="1"/>
      <c r="M445" s="1"/>
      <c r="N445" s="1"/>
    </row>
    <row r="446" ht="15.75" customHeight="1">
      <c r="B446" s="1"/>
      <c r="D446" s="1"/>
      <c r="F446" s="1"/>
      <c r="J446" s="1"/>
      <c r="K446" s="1"/>
      <c r="L446" s="1"/>
      <c r="M446" s="1"/>
      <c r="N446" s="1"/>
    </row>
    <row r="447" ht="15.75" customHeight="1">
      <c r="B447" s="1"/>
      <c r="D447" s="1"/>
      <c r="F447" s="1"/>
      <c r="J447" s="1"/>
      <c r="K447" s="1"/>
      <c r="L447" s="1"/>
      <c r="M447" s="1"/>
      <c r="N447" s="1"/>
    </row>
    <row r="448" ht="15.75" customHeight="1">
      <c r="B448" s="1"/>
      <c r="D448" s="1"/>
      <c r="F448" s="1"/>
      <c r="J448" s="1"/>
      <c r="K448" s="1"/>
      <c r="L448" s="1"/>
      <c r="M448" s="1"/>
      <c r="N448" s="1"/>
    </row>
    <row r="449" ht="15.75" customHeight="1">
      <c r="B449" s="1"/>
      <c r="D449" s="1"/>
      <c r="F449" s="1"/>
      <c r="J449" s="1"/>
      <c r="K449" s="1"/>
      <c r="L449" s="1"/>
      <c r="M449" s="1"/>
      <c r="N449" s="1"/>
    </row>
    <row r="450" ht="15.75" customHeight="1">
      <c r="B450" s="1"/>
      <c r="D450" s="1"/>
      <c r="F450" s="1"/>
      <c r="J450" s="1"/>
      <c r="K450" s="1"/>
      <c r="L450" s="1"/>
      <c r="M450" s="1"/>
      <c r="N450" s="1"/>
    </row>
    <row r="451" ht="15.75" customHeight="1">
      <c r="B451" s="1"/>
      <c r="D451" s="1"/>
      <c r="F451" s="1"/>
      <c r="J451" s="1"/>
      <c r="K451" s="1"/>
      <c r="L451" s="1"/>
      <c r="M451" s="1"/>
      <c r="N451" s="1"/>
    </row>
    <row r="452" ht="15.75" customHeight="1">
      <c r="B452" s="1"/>
      <c r="D452" s="1"/>
      <c r="F452" s="1"/>
      <c r="J452" s="1"/>
      <c r="K452" s="1"/>
      <c r="L452" s="1"/>
      <c r="M452" s="1"/>
      <c r="N452" s="1"/>
    </row>
    <row r="453" ht="15.75" customHeight="1">
      <c r="B453" s="1"/>
      <c r="D453" s="1"/>
      <c r="F453" s="1"/>
      <c r="J453" s="1"/>
      <c r="K453" s="1"/>
      <c r="L453" s="1"/>
      <c r="M453" s="1"/>
      <c r="N453" s="1"/>
    </row>
    <row r="454" ht="15.75" customHeight="1">
      <c r="B454" s="1"/>
      <c r="D454" s="1"/>
      <c r="F454" s="1"/>
      <c r="J454" s="1"/>
      <c r="K454" s="1"/>
      <c r="L454" s="1"/>
      <c r="M454" s="1"/>
      <c r="N454" s="1"/>
    </row>
    <row r="455" ht="15.75" customHeight="1">
      <c r="B455" s="1"/>
      <c r="D455" s="1"/>
      <c r="F455" s="1"/>
      <c r="J455" s="1"/>
      <c r="K455" s="1"/>
      <c r="L455" s="1"/>
      <c r="M455" s="1"/>
      <c r="N455" s="1"/>
    </row>
    <row r="456" ht="15.75" customHeight="1">
      <c r="B456" s="1"/>
      <c r="D456" s="1"/>
      <c r="F456" s="1"/>
      <c r="J456" s="1"/>
      <c r="K456" s="1"/>
      <c r="L456" s="1"/>
      <c r="M456" s="1"/>
      <c r="N456" s="1"/>
    </row>
    <row r="457" ht="15.75" customHeight="1">
      <c r="B457" s="1"/>
      <c r="D457" s="1"/>
      <c r="F457" s="1"/>
      <c r="J457" s="1"/>
      <c r="K457" s="1"/>
      <c r="L457" s="1"/>
      <c r="M457" s="1"/>
      <c r="N457" s="1"/>
    </row>
    <row r="458" ht="15.75" customHeight="1">
      <c r="B458" s="1"/>
      <c r="D458" s="1"/>
      <c r="F458" s="1"/>
      <c r="J458" s="1"/>
      <c r="K458" s="1"/>
      <c r="L458" s="1"/>
      <c r="M458" s="1"/>
      <c r="N458" s="1"/>
    </row>
    <row r="459" ht="15.75" customHeight="1">
      <c r="B459" s="1"/>
      <c r="D459" s="1"/>
      <c r="F459" s="1"/>
      <c r="J459" s="1"/>
      <c r="K459" s="1"/>
      <c r="L459" s="1"/>
      <c r="M459" s="1"/>
      <c r="N459" s="1"/>
    </row>
    <row r="460" ht="15.75" customHeight="1">
      <c r="B460" s="1"/>
      <c r="D460" s="1"/>
      <c r="F460" s="1"/>
      <c r="J460" s="1"/>
      <c r="K460" s="1"/>
      <c r="L460" s="1"/>
      <c r="M460" s="1"/>
      <c r="N460" s="1"/>
    </row>
    <row r="461" ht="15.75" customHeight="1">
      <c r="B461" s="1"/>
      <c r="D461" s="1"/>
      <c r="F461" s="1"/>
      <c r="J461" s="1"/>
      <c r="K461" s="1"/>
      <c r="L461" s="1"/>
      <c r="M461" s="1"/>
      <c r="N461" s="1"/>
    </row>
    <row r="462" ht="15.75" customHeight="1">
      <c r="B462" s="1"/>
      <c r="D462" s="1"/>
      <c r="F462" s="1"/>
      <c r="J462" s="1"/>
      <c r="K462" s="1"/>
      <c r="L462" s="1"/>
      <c r="M462" s="1"/>
      <c r="N462" s="1"/>
    </row>
    <row r="463" ht="15.75" customHeight="1">
      <c r="B463" s="1"/>
      <c r="D463" s="1"/>
      <c r="F463" s="1"/>
      <c r="J463" s="1"/>
      <c r="K463" s="1"/>
      <c r="L463" s="1"/>
      <c r="M463" s="1"/>
      <c r="N463" s="1"/>
    </row>
    <row r="464" ht="15.75" customHeight="1">
      <c r="B464" s="1"/>
      <c r="D464" s="1"/>
      <c r="F464" s="1"/>
      <c r="J464" s="1"/>
      <c r="K464" s="1"/>
      <c r="L464" s="1"/>
      <c r="M464" s="1"/>
      <c r="N464" s="1"/>
    </row>
    <row r="465" ht="15.75" customHeight="1">
      <c r="B465" s="1"/>
      <c r="D465" s="1"/>
      <c r="F465" s="1"/>
      <c r="J465" s="1"/>
      <c r="K465" s="1"/>
      <c r="L465" s="1"/>
      <c r="M465" s="1"/>
      <c r="N465" s="1"/>
    </row>
    <row r="466" ht="15.75" customHeight="1">
      <c r="B466" s="1"/>
      <c r="D466" s="1"/>
      <c r="F466" s="1"/>
      <c r="J466" s="1"/>
      <c r="K466" s="1"/>
      <c r="L466" s="1"/>
      <c r="M466" s="1"/>
      <c r="N466" s="1"/>
    </row>
    <row r="467" ht="15.75" customHeight="1">
      <c r="B467" s="1"/>
      <c r="D467" s="1"/>
      <c r="F467" s="1"/>
      <c r="J467" s="1"/>
      <c r="K467" s="1"/>
      <c r="L467" s="1"/>
      <c r="M467" s="1"/>
      <c r="N467" s="1"/>
    </row>
    <row r="468" ht="15.75" customHeight="1">
      <c r="B468" s="1"/>
      <c r="D468" s="1"/>
      <c r="F468" s="1"/>
      <c r="J468" s="1"/>
      <c r="K468" s="1"/>
      <c r="L468" s="1"/>
      <c r="M468" s="1"/>
      <c r="N468" s="1"/>
    </row>
    <row r="469" ht="15.75" customHeight="1">
      <c r="B469" s="1"/>
      <c r="D469" s="1"/>
      <c r="F469" s="1"/>
      <c r="J469" s="1"/>
      <c r="K469" s="1"/>
      <c r="L469" s="1"/>
      <c r="M469" s="1"/>
      <c r="N469" s="1"/>
    </row>
    <row r="470" ht="15.75" customHeight="1">
      <c r="B470" s="1"/>
      <c r="D470" s="1"/>
      <c r="F470" s="1"/>
      <c r="J470" s="1"/>
      <c r="K470" s="1"/>
      <c r="L470" s="1"/>
      <c r="M470" s="1"/>
      <c r="N470" s="1"/>
    </row>
    <row r="471" ht="15.75" customHeight="1">
      <c r="B471" s="1"/>
      <c r="D471" s="1"/>
      <c r="F471" s="1"/>
      <c r="J471" s="1"/>
      <c r="K471" s="1"/>
      <c r="L471" s="1"/>
      <c r="M471" s="1"/>
      <c r="N471" s="1"/>
    </row>
    <row r="472" ht="15.75" customHeight="1">
      <c r="B472" s="1"/>
      <c r="D472" s="1"/>
      <c r="F472" s="1"/>
      <c r="J472" s="1"/>
      <c r="K472" s="1"/>
      <c r="L472" s="1"/>
      <c r="M472" s="1"/>
      <c r="N472" s="1"/>
    </row>
    <row r="473" ht="15.75" customHeight="1">
      <c r="B473" s="1"/>
      <c r="D473" s="1"/>
      <c r="F473" s="1"/>
      <c r="J473" s="1"/>
      <c r="K473" s="1"/>
      <c r="L473" s="1"/>
      <c r="M473" s="1"/>
      <c r="N473" s="1"/>
    </row>
    <row r="474" ht="15.75" customHeight="1">
      <c r="B474" s="1"/>
      <c r="D474" s="1"/>
      <c r="F474" s="1"/>
      <c r="J474" s="1"/>
      <c r="K474" s="1"/>
      <c r="L474" s="1"/>
      <c r="M474" s="1"/>
      <c r="N474" s="1"/>
    </row>
    <row r="475" ht="15.75" customHeight="1">
      <c r="B475" s="1"/>
      <c r="D475" s="1"/>
      <c r="F475" s="1"/>
      <c r="J475" s="1"/>
      <c r="K475" s="1"/>
      <c r="L475" s="1"/>
      <c r="M475" s="1"/>
      <c r="N475" s="1"/>
    </row>
    <row r="476" ht="15.75" customHeight="1">
      <c r="B476" s="1"/>
      <c r="D476" s="1"/>
      <c r="F476" s="1"/>
      <c r="J476" s="1"/>
      <c r="K476" s="1"/>
      <c r="L476" s="1"/>
      <c r="M476" s="1"/>
      <c r="N476" s="1"/>
    </row>
    <row r="477" ht="15.75" customHeight="1">
      <c r="B477" s="1"/>
      <c r="D477" s="1"/>
      <c r="F477" s="1"/>
      <c r="J477" s="1"/>
      <c r="K477" s="1"/>
      <c r="L477" s="1"/>
      <c r="M477" s="1"/>
      <c r="N477" s="1"/>
    </row>
    <row r="478" ht="15.75" customHeight="1">
      <c r="B478" s="1"/>
      <c r="D478" s="1"/>
      <c r="F478" s="1"/>
      <c r="J478" s="1"/>
      <c r="K478" s="1"/>
      <c r="L478" s="1"/>
      <c r="M478" s="1"/>
      <c r="N478" s="1"/>
    </row>
    <row r="479" ht="15.75" customHeight="1">
      <c r="B479" s="1"/>
      <c r="D479" s="1"/>
      <c r="F479" s="1"/>
      <c r="J479" s="1"/>
      <c r="K479" s="1"/>
      <c r="L479" s="1"/>
      <c r="M479" s="1"/>
      <c r="N479" s="1"/>
    </row>
    <row r="480" ht="15.75" customHeight="1">
      <c r="B480" s="1"/>
      <c r="D480" s="1"/>
      <c r="F480" s="1"/>
      <c r="J480" s="1"/>
      <c r="K480" s="1"/>
      <c r="L480" s="1"/>
      <c r="M480" s="1"/>
      <c r="N480" s="1"/>
    </row>
    <row r="481" ht="15.75" customHeight="1">
      <c r="B481" s="1"/>
      <c r="D481" s="1"/>
      <c r="F481" s="1"/>
      <c r="J481" s="1"/>
      <c r="K481" s="1"/>
      <c r="L481" s="1"/>
      <c r="M481" s="1"/>
      <c r="N481" s="1"/>
    </row>
    <row r="482" ht="15.75" customHeight="1">
      <c r="B482" s="1"/>
      <c r="D482" s="1"/>
      <c r="F482" s="1"/>
      <c r="J482" s="1"/>
      <c r="K482" s="1"/>
      <c r="L482" s="1"/>
      <c r="M482" s="1"/>
      <c r="N482" s="1"/>
    </row>
    <row r="483" ht="15.75" customHeight="1">
      <c r="B483" s="1"/>
      <c r="D483" s="1"/>
      <c r="F483" s="1"/>
      <c r="J483" s="1"/>
      <c r="K483" s="1"/>
      <c r="L483" s="1"/>
      <c r="M483" s="1"/>
      <c r="N483" s="1"/>
    </row>
    <row r="484" ht="15.75" customHeight="1">
      <c r="B484" s="1"/>
      <c r="D484" s="1"/>
      <c r="F484" s="1"/>
      <c r="J484" s="1"/>
      <c r="K484" s="1"/>
      <c r="L484" s="1"/>
      <c r="M484" s="1"/>
      <c r="N484" s="1"/>
    </row>
    <row r="485" ht="15.75" customHeight="1">
      <c r="B485" s="1"/>
      <c r="D485" s="1"/>
      <c r="F485" s="1"/>
      <c r="J485" s="1"/>
      <c r="K485" s="1"/>
      <c r="L485" s="1"/>
      <c r="M485" s="1"/>
      <c r="N485" s="1"/>
    </row>
    <row r="486" ht="15.75" customHeight="1">
      <c r="B486" s="1"/>
      <c r="D486" s="1"/>
      <c r="F486" s="1"/>
      <c r="J486" s="1"/>
      <c r="K486" s="1"/>
      <c r="L486" s="1"/>
      <c r="M486" s="1"/>
      <c r="N486" s="1"/>
    </row>
    <row r="487" ht="15.75" customHeight="1">
      <c r="B487" s="1"/>
      <c r="D487" s="1"/>
      <c r="F487" s="1"/>
      <c r="J487" s="1"/>
      <c r="K487" s="1"/>
      <c r="L487" s="1"/>
      <c r="M487" s="1"/>
      <c r="N487" s="1"/>
    </row>
    <row r="488" ht="15.75" customHeight="1">
      <c r="B488" s="1"/>
      <c r="D488" s="1"/>
      <c r="F488" s="1"/>
      <c r="J488" s="1"/>
      <c r="K488" s="1"/>
      <c r="L488" s="1"/>
      <c r="M488" s="1"/>
      <c r="N488" s="1"/>
    </row>
    <row r="489" ht="15.75" customHeight="1">
      <c r="B489" s="1"/>
      <c r="D489" s="1"/>
      <c r="F489" s="1"/>
      <c r="J489" s="1"/>
      <c r="K489" s="1"/>
      <c r="L489" s="1"/>
      <c r="M489" s="1"/>
      <c r="N489" s="1"/>
    </row>
    <row r="490" ht="15.75" customHeight="1">
      <c r="B490" s="1"/>
      <c r="D490" s="1"/>
      <c r="F490" s="1"/>
      <c r="J490" s="1"/>
      <c r="K490" s="1"/>
      <c r="L490" s="1"/>
      <c r="M490" s="1"/>
      <c r="N490" s="1"/>
    </row>
    <row r="491" ht="15.75" customHeight="1">
      <c r="B491" s="1"/>
      <c r="D491" s="1"/>
      <c r="F491" s="1"/>
      <c r="J491" s="1"/>
      <c r="K491" s="1"/>
      <c r="L491" s="1"/>
      <c r="M491" s="1"/>
      <c r="N491" s="1"/>
    </row>
    <row r="492" ht="15.75" customHeight="1">
      <c r="B492" s="1"/>
      <c r="D492" s="1"/>
      <c r="F492" s="1"/>
      <c r="J492" s="1"/>
      <c r="K492" s="1"/>
      <c r="L492" s="1"/>
      <c r="M492" s="1"/>
      <c r="N492" s="1"/>
    </row>
    <row r="493" ht="15.75" customHeight="1">
      <c r="B493" s="1"/>
      <c r="D493" s="1"/>
      <c r="F493" s="1"/>
      <c r="J493" s="1"/>
      <c r="K493" s="1"/>
      <c r="L493" s="1"/>
      <c r="M493" s="1"/>
      <c r="N493" s="1"/>
    </row>
    <row r="494" ht="15.75" customHeight="1">
      <c r="B494" s="1"/>
      <c r="D494" s="1"/>
      <c r="F494" s="1"/>
      <c r="J494" s="1"/>
      <c r="K494" s="1"/>
      <c r="L494" s="1"/>
      <c r="M494" s="1"/>
      <c r="N494" s="1"/>
    </row>
    <row r="495" ht="15.75" customHeight="1">
      <c r="B495" s="1"/>
      <c r="D495" s="1"/>
      <c r="F495" s="1"/>
      <c r="J495" s="1"/>
      <c r="K495" s="1"/>
      <c r="L495" s="1"/>
      <c r="M495" s="1"/>
      <c r="N495" s="1"/>
    </row>
    <row r="496" ht="15.75" customHeight="1">
      <c r="B496" s="1"/>
      <c r="D496" s="1"/>
      <c r="F496" s="1"/>
      <c r="J496" s="1"/>
      <c r="K496" s="1"/>
      <c r="L496" s="1"/>
      <c r="M496" s="1"/>
      <c r="N496" s="1"/>
    </row>
    <row r="497" ht="15.75" customHeight="1">
      <c r="B497" s="1"/>
      <c r="D497" s="1"/>
      <c r="F497" s="1"/>
      <c r="J497" s="1"/>
      <c r="K497" s="1"/>
      <c r="L497" s="1"/>
      <c r="M497" s="1"/>
      <c r="N497" s="1"/>
    </row>
    <row r="498" ht="15.75" customHeight="1">
      <c r="B498" s="1"/>
      <c r="D498" s="1"/>
      <c r="F498" s="1"/>
      <c r="J498" s="1"/>
      <c r="K498" s="1"/>
      <c r="L498" s="1"/>
      <c r="M498" s="1"/>
      <c r="N498" s="1"/>
    </row>
    <row r="499" ht="15.75" customHeight="1">
      <c r="B499" s="1"/>
      <c r="D499" s="1"/>
      <c r="F499" s="1"/>
      <c r="J499" s="1"/>
      <c r="K499" s="1"/>
      <c r="L499" s="1"/>
      <c r="M499" s="1"/>
      <c r="N499" s="1"/>
    </row>
    <row r="500" ht="15.75" customHeight="1">
      <c r="B500" s="1"/>
      <c r="D500" s="1"/>
      <c r="F500" s="1"/>
      <c r="J500" s="1"/>
      <c r="K500" s="1"/>
      <c r="L500" s="1"/>
      <c r="M500" s="1"/>
      <c r="N500" s="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conditionalFormatting sqref="I5:I61">
    <cfRule type="expression" dxfId="0" priority="1">
      <formula>I5="Win"</formula>
    </cfRule>
  </conditionalFormatting>
  <conditionalFormatting sqref="I5:I61">
    <cfRule type="expression" dxfId="1" priority="2">
      <formula>I5="Loss"</formula>
    </cfRule>
  </conditionalFormatting>
  <dataValidations>
    <dataValidation type="decimal" allowBlank="1" sqref="N5:N165 J166:N500">
      <formula1>Lists!$F$2:$F$6</formula1>
      <formula2>0.0</formula2>
    </dataValidation>
    <dataValidation type="list" allowBlank="1" sqref="F5:F500">
      <formula1>Lists!$E$2:$E$8</formula1>
    </dataValidation>
    <dataValidation type="list" allowBlank="1" showErrorMessage="1" sqref="E5:E173">
      <formula1>'Player Profile'!$B$5:$B$99</formula1>
    </dataValidation>
    <dataValidation type="list" allowBlank="1" showErrorMessage="1" sqref="J5:M165">
      <formula1>Lists!$F$2:$F$6</formula1>
    </dataValidation>
    <dataValidation type="list" allowBlank="1" sqref="B5:B9 B40:B500">
      <formula1>PlayerNames</formula1>
    </dataValidation>
    <dataValidation type="list" allowBlank="1" sqref="D5:D500">
      <formula1>Lists!$B$2:$B$4</formula1>
    </dataValidation>
    <dataValidation type="list" allowBlank="1" sqref="B10:B39">
      <formula1>'Player Profile'!$B$5:$B$99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14.0"/>
    <col customWidth="1" min="4" max="4" width="18.0"/>
    <col customWidth="1" min="5" max="5" width="12.0"/>
    <col customWidth="1" min="6" max="6" width="17.0"/>
    <col customWidth="1" min="7" max="7" width="16.0"/>
    <col customWidth="1" min="8" max="8" width="17.0"/>
    <col customWidth="1" min="9" max="10" width="12.0"/>
    <col customWidth="1" min="11" max="11" width="13.0"/>
    <col customWidth="1" min="12" max="12" width="15.0"/>
    <col customWidth="1" min="13" max="13" width="16.0"/>
    <col customWidth="1" min="14" max="14" width="13.0"/>
    <col customWidth="1" min="15" max="15" width="18.0"/>
    <col customWidth="1" min="16" max="17" width="14.0"/>
    <col customWidth="1" min="18" max="18" width="8.71"/>
    <col customWidth="1" min="19" max="19" width="24.0"/>
    <col customWidth="1" min="20" max="20" width="14.0"/>
    <col customWidth="1" min="21" max="26" width="8.71"/>
  </cols>
  <sheetData>
    <row r="1" ht="24.0" customHeight="1">
      <c r="A1" s="3" t="s">
        <v>184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S1" s="31" t="s">
        <v>185</v>
      </c>
      <c r="T1" s="31" t="s">
        <v>186</v>
      </c>
    </row>
    <row r="2" ht="31.5" customHeight="1">
      <c r="A2" s="6" t="s">
        <v>187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S2" s="32" t="s">
        <v>188</v>
      </c>
      <c r="T2" s="33">
        <f>COUNTIF(B5:B54,"Yes")</f>
        <v>13</v>
      </c>
    </row>
    <row r="3">
      <c r="S3" s="32" t="s">
        <v>189</v>
      </c>
      <c r="T3" s="33">
        <f>SUM(D5:D54)</f>
        <v>1270</v>
      </c>
    </row>
    <row r="4" ht="31.5" customHeight="1">
      <c r="A4" s="7" t="s">
        <v>52</v>
      </c>
      <c r="B4" s="7" t="s">
        <v>60</v>
      </c>
      <c r="C4" s="7" t="s">
        <v>190</v>
      </c>
      <c r="D4" s="7" t="s">
        <v>189</v>
      </c>
      <c r="E4" s="7" t="s">
        <v>191</v>
      </c>
      <c r="F4" s="7" t="s">
        <v>192</v>
      </c>
      <c r="G4" s="7" t="s">
        <v>193</v>
      </c>
      <c r="H4" s="7" t="s">
        <v>194</v>
      </c>
      <c r="I4" s="7" t="s">
        <v>195</v>
      </c>
      <c r="J4" s="7" t="s">
        <v>196</v>
      </c>
      <c r="K4" s="7" t="s">
        <v>197</v>
      </c>
      <c r="L4" s="7" t="s">
        <v>198</v>
      </c>
      <c r="M4" s="7" t="s">
        <v>199</v>
      </c>
      <c r="N4" s="7" t="s">
        <v>200</v>
      </c>
      <c r="O4" s="7" t="s">
        <v>201</v>
      </c>
      <c r="P4" s="7" t="s">
        <v>202</v>
      </c>
      <c r="Q4" s="7" t="s">
        <v>203</v>
      </c>
      <c r="S4" s="32" t="s">
        <v>204</v>
      </c>
      <c r="T4" s="34">
        <f>IFERROR(AVERAGE(K5:K54),"")</f>
        <v>0.4257142857</v>
      </c>
    </row>
    <row r="5">
      <c r="A5" s="35" t="str">
        <f>IF('Player Profile'!B5="","",'Player Profile'!B5)</f>
        <v>Prativ</v>
      </c>
      <c r="B5" s="36" t="str">
        <f>IF(A5="","",'Player Profile'!K5)</f>
        <v>Yes</v>
      </c>
      <c r="C5" s="14">
        <f>IF(A5="","",COUNTIFS('Session Log'!$E$5:$E$2000,$A5))</f>
        <v>17</v>
      </c>
      <c r="D5" s="14">
        <f>IF(A5="","",SUMIFS('Session Log'!$M$5:$M$2000,'Session Log'!$E$5:$E$2000,$A5))</f>
        <v>420</v>
      </c>
      <c r="E5" s="14">
        <f>IF(A5="","",COUNTIFS('Skill Metrics'!$B$5:$B$2000,$A5))</f>
        <v>3</v>
      </c>
      <c r="F5" s="18" t="str">
        <f>IFERROR(AVERAGEIFS('Skill Metrics'!$J$5:$J$2000,'Skill Metrics'!$B$5:$B$2000,$A5),"")</f>
        <v/>
      </c>
      <c r="G5" s="18" t="str">
        <f>IFERROR(AVERAGEIFS('Skill Metrics'!$M$5:$M$2000,'Skill Metrics'!$B$5:$B$2000,$A5),"")</f>
        <v/>
      </c>
      <c r="H5" s="14" t="str">
        <f>IFERROR(AVERAGEIFS('Skill Metrics'!$O$5:$O$2000,'Skill Metrics'!$B$5:$B$2000,$A5),"")</f>
        <v/>
      </c>
      <c r="I5" s="14">
        <f>IF(A5="","",COUNTIFS('Match Data'!$B$5:$B$2000,$A5))</f>
        <v>7</v>
      </c>
      <c r="J5" s="14">
        <f>IF(A5="","",COUNTIFS('Match Data'!$B$5:$B$2000,$A5,'Match Data'!$I$5:$I$2000,"Win"))</f>
        <v>3</v>
      </c>
      <c r="K5" s="18">
        <f t="shared" ref="K5:K54" si="1">IFERROR(J5/I5,"")</f>
        <v>0.4285714286</v>
      </c>
      <c r="L5" s="14">
        <f>IFERROR(AVERAGEIFS('Match Data'!$J$5:$J$2000,'Match Data'!$B$5:$B$2000,$A5),"")</f>
        <v>4</v>
      </c>
      <c r="M5" s="14">
        <f>IFERROR(AVERAGEIFS('Match Data'!$K$5:$K$2000,'Match Data'!$B$5:$B$2000,$A5),"")</f>
        <v>3</v>
      </c>
      <c r="N5" s="14">
        <f>IFERROR(AVERAGEIFS('Match Data'!$L$5:$L$2000,'Match Data'!$B$5:$B$2000,$A5),"")</f>
        <v>3</v>
      </c>
      <c r="O5" s="14">
        <f>IFERROR(AVERAGEIFS('Match Data'!$M$5:$M$2000,'Match Data'!$B$5:$B$2000,$A5),"")</f>
        <v>4</v>
      </c>
      <c r="P5" s="37">
        <f>IFERROR(maxifs('Session Log'!$B$5:$B$2000,'Session Log'!$E$5:$E$2000,$A5),"")</f>
        <v>46091</v>
      </c>
      <c r="Q5" s="37">
        <f>IFERROR(maxifs('Match Data'!$C$5:$C$2000,'Match Data'!$B$5:$B$2000,$A5),"")</f>
        <v>46091</v>
      </c>
      <c r="S5" s="32" t="s">
        <v>192</v>
      </c>
      <c r="T5" s="34" t="str">
        <f>IFERROR(AVERAGE(F5:F54),"")</f>
        <v/>
      </c>
    </row>
    <row r="6">
      <c r="A6" s="35" t="str">
        <f>IF('Player Profile'!B6="","",'Player Profile'!B6)</f>
        <v>Bhavishnu</v>
      </c>
      <c r="B6" s="36" t="str">
        <f>IF(A6="","",'Player Profile'!K6)</f>
        <v>Yes</v>
      </c>
      <c r="C6" s="14">
        <f>IF(A6="","",COUNTIFS('Session Log'!$E$5:$E$2000,$A6))</f>
        <v>11</v>
      </c>
      <c r="D6" s="14">
        <f>IF(A6="","",SUMIFS('Session Log'!$M$5:$M$2000,'Session Log'!$E$5:$E$2000,$A6))</f>
        <v>180</v>
      </c>
      <c r="E6" s="14">
        <f>IF(A6="","",COUNTIFS('Skill Metrics'!$B$5:$B$2000,$A6))</f>
        <v>3</v>
      </c>
      <c r="F6" s="18" t="str">
        <f>IFERROR(AVERAGEIFS('Skill Metrics'!$J$5:$J$2000,'Skill Metrics'!$B$5:$B$2000,$A6),"")</f>
        <v/>
      </c>
      <c r="G6" s="18" t="str">
        <f>IFERROR(AVERAGEIFS('Skill Metrics'!$M$5:$M$2000,'Skill Metrics'!$B$5:$B$2000,$A6),"")</f>
        <v/>
      </c>
      <c r="H6" s="14" t="str">
        <f>IFERROR(AVERAGEIFS('Skill Metrics'!$O$5:$O$2000,'Skill Metrics'!$B$5:$B$2000,$A6),"")</f>
        <v/>
      </c>
      <c r="I6" s="14">
        <f>IF(A6="","",COUNTIFS('Match Data'!$B$5:$B$2000,$A6))</f>
        <v>0</v>
      </c>
      <c r="J6" s="14">
        <f>IF(A6="","",COUNTIFS('Match Data'!$B$5:$B$2000,$A6,'Match Data'!$I$5:$I$2000,"Win"))</f>
        <v>0</v>
      </c>
      <c r="K6" s="18" t="str">
        <f t="shared" si="1"/>
        <v/>
      </c>
      <c r="L6" s="14" t="str">
        <f>IFERROR(AVERAGEIFS('Match Data'!$J$5:$J$2000,'Match Data'!$B$5:$B$2000,$A6),"")</f>
        <v/>
      </c>
      <c r="M6" s="14" t="str">
        <f>IFERROR(AVERAGEIFS('Match Data'!$K$5:$K$2000,'Match Data'!$B$5:$B$2000,$A6),"")</f>
        <v/>
      </c>
      <c r="N6" s="14" t="str">
        <f>IFERROR(AVERAGEIFS('Match Data'!$L$5:$L$2000,'Match Data'!$B$5:$B$2000,$A6),"")</f>
        <v/>
      </c>
      <c r="O6" s="14" t="str">
        <f>IFERROR(AVERAGEIFS('Match Data'!$M$5:$M$2000,'Match Data'!$B$5:$B$2000,$A6),"")</f>
        <v/>
      </c>
      <c r="P6" s="37">
        <f>IFERROR(maxifs('Session Log'!$B$5:$B$2000,'Session Log'!$E$5:$E$2000,$A6),"")</f>
        <v>46091</v>
      </c>
      <c r="Q6" s="37">
        <f>IFERROR(maxifs('Match Data'!$C$5:$C$2000,'Match Data'!$B$5:$B$2000,$A6),"")</f>
        <v>0</v>
      </c>
    </row>
    <row r="7">
      <c r="A7" s="35" t="str">
        <f>IF('Player Profile'!B7="","",'Player Profile'!B7)</f>
        <v>Aarish</v>
      </c>
      <c r="B7" s="36" t="str">
        <f>IF(A7="","",'Player Profile'!K7)</f>
        <v>Yes</v>
      </c>
      <c r="C7" s="14">
        <f>IF(A7="","",COUNTIFS('Session Log'!$E$5:$E$2000,$A7))</f>
        <v>12</v>
      </c>
      <c r="D7" s="14">
        <f>IF(A7="","",SUMIFS('Session Log'!$M$5:$M$2000,'Session Log'!$E$5:$E$2000,$A7))</f>
        <v>105</v>
      </c>
      <c r="E7" s="14">
        <f>IF(A7="","",COUNTIFS('Skill Metrics'!$B$5:$B$2000,$A7))</f>
        <v>3</v>
      </c>
      <c r="F7" s="18" t="str">
        <f>IFERROR(AVERAGEIFS('Skill Metrics'!$J$5:$J$2000,'Skill Metrics'!$B$5:$B$2000,$A7),"")</f>
        <v/>
      </c>
      <c r="G7" s="18" t="str">
        <f>IFERROR(AVERAGEIFS('Skill Metrics'!$M$5:$M$2000,'Skill Metrics'!$B$5:$B$2000,$A7),"")</f>
        <v/>
      </c>
      <c r="H7" s="14" t="str">
        <f>IFERROR(AVERAGEIFS('Skill Metrics'!$O$5:$O$2000,'Skill Metrics'!$B$5:$B$2000,$A7),"")</f>
        <v/>
      </c>
      <c r="I7" s="14">
        <f>IF(A7="","",COUNTIFS('Match Data'!$B$5:$B$2000,$A7))</f>
        <v>5</v>
      </c>
      <c r="J7" s="14">
        <f>IF(A7="","",COUNTIFS('Match Data'!$B$5:$B$2000,$A7,'Match Data'!$I$5:$I$2000,"Win"))</f>
        <v>3</v>
      </c>
      <c r="K7" s="18">
        <f t="shared" si="1"/>
        <v>0.6</v>
      </c>
      <c r="L7" s="14">
        <f>IFERROR(AVERAGEIFS('Match Data'!$J$5:$J$2000,'Match Data'!$B$5:$B$2000,$A7),"")</f>
        <v>3</v>
      </c>
      <c r="M7" s="14">
        <f>IFERROR(AVERAGEIFS('Match Data'!$K$5:$K$2000,'Match Data'!$B$5:$B$2000,$A7),"")</f>
        <v>2</v>
      </c>
      <c r="N7" s="14">
        <f>IFERROR(AVERAGEIFS('Match Data'!$L$5:$L$2000,'Match Data'!$B$5:$B$2000,$A7),"")</f>
        <v>3</v>
      </c>
      <c r="O7" s="14">
        <f>IFERROR(AVERAGEIFS('Match Data'!$M$5:$M$2000,'Match Data'!$B$5:$B$2000,$A7),"")</f>
        <v>2</v>
      </c>
      <c r="P7" s="37">
        <f>IFERROR(maxifs('Session Log'!$B$5:$B$2000,'Session Log'!$E$5:$E$2000,$A7),"")</f>
        <v>46091</v>
      </c>
      <c r="Q7" s="37">
        <f>IFERROR(maxifs('Match Data'!$C$5:$C$2000,'Match Data'!$B$5:$B$2000,$A7),"")</f>
        <v>46091</v>
      </c>
    </row>
    <row r="8">
      <c r="A8" s="35" t="str">
        <f>IF('Player Profile'!B8="","",'Player Profile'!B8)</f>
        <v>Johith</v>
      </c>
      <c r="B8" s="36" t="str">
        <f>IF(A8="","",'Player Profile'!K8)</f>
        <v>Yes</v>
      </c>
      <c r="C8" s="14">
        <f>IF(A8="","",COUNTIFS('Session Log'!$E$5:$E$2000,$A8))</f>
        <v>3</v>
      </c>
      <c r="D8" s="14">
        <f>IF(A8="","",SUMIFS('Session Log'!$M$5:$M$2000,'Session Log'!$E$5:$E$2000,$A8))</f>
        <v>120</v>
      </c>
      <c r="E8" s="14">
        <f>IF(A8="","",COUNTIFS('Skill Metrics'!$B$5:$B$2000,$A8))</f>
        <v>2</v>
      </c>
      <c r="F8" s="18" t="str">
        <f>IFERROR(AVERAGEIFS('Skill Metrics'!$J$5:$J$2000,'Skill Metrics'!$B$5:$B$2000,$A8),"")</f>
        <v/>
      </c>
      <c r="G8" s="18" t="str">
        <f>IFERROR(AVERAGEIFS('Skill Metrics'!$M$5:$M$2000,'Skill Metrics'!$B$5:$B$2000,$A8),"")</f>
        <v/>
      </c>
      <c r="H8" s="14" t="str">
        <f>IFERROR(AVERAGEIFS('Skill Metrics'!$O$5:$O$2000,'Skill Metrics'!$B$5:$B$2000,$A8),"")</f>
        <v/>
      </c>
      <c r="I8" s="14">
        <f>IF(A8="","",COUNTIFS('Match Data'!$B$5:$B$2000,$A8))</f>
        <v>0</v>
      </c>
      <c r="J8" s="14">
        <f>IF(A8="","",COUNTIFS('Match Data'!$B$5:$B$2000,$A8,'Match Data'!$I$5:$I$2000,"Win"))</f>
        <v>0</v>
      </c>
      <c r="K8" s="18" t="str">
        <f t="shared" si="1"/>
        <v/>
      </c>
      <c r="L8" s="14" t="str">
        <f>IFERROR(AVERAGEIFS('Match Data'!$J$5:$J$2000,'Match Data'!$B$5:$B$2000,$A8),"")</f>
        <v/>
      </c>
      <c r="M8" s="14" t="str">
        <f>IFERROR(AVERAGEIFS('Match Data'!$K$5:$K$2000,'Match Data'!$B$5:$B$2000,$A8),"")</f>
        <v/>
      </c>
      <c r="N8" s="14" t="str">
        <f>IFERROR(AVERAGEIFS('Match Data'!$L$5:$L$2000,'Match Data'!$B$5:$B$2000,$A8),"")</f>
        <v/>
      </c>
      <c r="O8" s="14" t="str">
        <f>IFERROR(AVERAGEIFS('Match Data'!$M$5:$M$2000,'Match Data'!$B$5:$B$2000,$A8),"")</f>
        <v/>
      </c>
      <c r="P8" s="37">
        <f>IFERROR(maxifs('Session Log'!$B$5:$B$2000,'Session Log'!$E$5:$E$2000,$A8),"")</f>
        <v>46091</v>
      </c>
      <c r="Q8" s="37">
        <f>IFERROR(maxifs('Match Data'!$C$5:$C$2000,'Match Data'!$B$5:$B$2000,$A8),"")</f>
        <v>0</v>
      </c>
    </row>
    <row r="9">
      <c r="A9" s="35" t="str">
        <f>IF('Player Profile'!B9="","",'Player Profile'!B9)</f>
        <v>Gowtham</v>
      </c>
      <c r="B9" s="36" t="str">
        <f>IF(A9="","",'Player Profile'!K9)</f>
        <v>Yes</v>
      </c>
      <c r="C9" s="14">
        <f>IF(A9="","",COUNTIFS('Session Log'!$E$5:$E$2000,$A9))</f>
        <v>13</v>
      </c>
      <c r="D9" s="14">
        <f>IF(A9="","",SUMIFS('Session Log'!$M$5:$M$2000,'Session Log'!$E$5:$E$2000,$A9))</f>
        <v>200</v>
      </c>
      <c r="E9" s="14">
        <f>IF(A9="","",COUNTIFS('Skill Metrics'!$B$5:$B$2000,$A9))</f>
        <v>0</v>
      </c>
      <c r="F9" s="18" t="str">
        <f>IFERROR(AVERAGEIFS('Skill Metrics'!$J$5:$J$2000,'Skill Metrics'!$B$5:$B$2000,$A9),"")</f>
        <v/>
      </c>
      <c r="G9" s="18" t="str">
        <f>IFERROR(AVERAGEIFS('Skill Metrics'!$M$5:$M$2000,'Skill Metrics'!$B$5:$B$2000,$A9),"")</f>
        <v/>
      </c>
      <c r="H9" s="14" t="str">
        <f>IFERROR(AVERAGEIFS('Skill Metrics'!$O$5:$O$2000,'Skill Metrics'!$B$5:$B$2000,$A9),"")</f>
        <v/>
      </c>
      <c r="I9" s="14">
        <f>IF(A9="","",COUNTIFS('Match Data'!$B$5:$B$2000,$A9))</f>
        <v>4</v>
      </c>
      <c r="J9" s="14">
        <f>IF(A9="","",COUNTIFS('Match Data'!$B$5:$B$2000,$A9,'Match Data'!$I$5:$I$2000,"Win"))</f>
        <v>2</v>
      </c>
      <c r="K9" s="18">
        <f t="shared" si="1"/>
        <v>0.5</v>
      </c>
      <c r="L9" s="14" t="str">
        <f>IFERROR(AVERAGEIFS('Match Data'!$J$5:$J$2000,'Match Data'!$B$5:$B$2000,$A9),"")</f>
        <v/>
      </c>
      <c r="M9" s="14" t="str">
        <f>IFERROR(AVERAGEIFS('Match Data'!$K$5:$K$2000,'Match Data'!$B$5:$B$2000,$A9),"")</f>
        <v/>
      </c>
      <c r="N9" s="14" t="str">
        <f>IFERROR(AVERAGEIFS('Match Data'!$L$5:$L$2000,'Match Data'!$B$5:$B$2000,$A9),"")</f>
        <v/>
      </c>
      <c r="O9" s="14" t="str">
        <f>IFERROR(AVERAGEIFS('Match Data'!$M$5:$M$2000,'Match Data'!$B$5:$B$2000,$A9),"")</f>
        <v/>
      </c>
      <c r="P9" s="37">
        <f>IFERROR(maxifs('Session Log'!$B$5:$B$2000,'Session Log'!$E$5:$E$2000,$A9),"")</f>
        <v>46091</v>
      </c>
      <c r="Q9" s="37">
        <f>IFERROR(maxifs('Match Data'!$C$5:$C$2000,'Match Data'!$B$5:$B$2000,$A9),"")</f>
        <v>46090</v>
      </c>
    </row>
    <row r="10">
      <c r="A10" s="35" t="str">
        <f>IF('Player Profile'!B10="","",'Player Profile'!B10)</f>
        <v>Athray</v>
      </c>
      <c r="B10" s="36" t="str">
        <f>IF(A10="","",'Player Profile'!K10)</f>
        <v>Yes</v>
      </c>
      <c r="C10" s="14">
        <f>IF(A10="","",COUNTIFS('Session Log'!$E$5:$E$2000,$A10))</f>
        <v>14</v>
      </c>
      <c r="D10" s="14">
        <f>IF(A10="","",SUMIFS('Session Log'!$M$5:$M$2000,'Session Log'!$E$5:$E$2000,$A10))</f>
        <v>215</v>
      </c>
      <c r="E10" s="14">
        <f>IF(A10="","",COUNTIFS('Skill Metrics'!$B$5:$B$2000,$A10))</f>
        <v>0</v>
      </c>
      <c r="F10" s="18" t="str">
        <f>IFERROR(AVERAGEIFS('Skill Metrics'!$J$5:$J$2000,'Skill Metrics'!$B$5:$B$2000,$A10),"")</f>
        <v/>
      </c>
      <c r="G10" s="18" t="str">
        <f>IFERROR(AVERAGEIFS('Skill Metrics'!$M$5:$M$2000,'Skill Metrics'!$B$5:$B$2000,$A10),"")</f>
        <v/>
      </c>
      <c r="H10" s="14" t="str">
        <f>IFERROR(AVERAGEIFS('Skill Metrics'!$O$5:$O$2000,'Skill Metrics'!$B$5:$B$2000,$A10),"")</f>
        <v/>
      </c>
      <c r="I10" s="14">
        <f>IF(A10="","",COUNTIFS('Match Data'!$B$5:$B$2000,$A10))</f>
        <v>5</v>
      </c>
      <c r="J10" s="14">
        <f>IF(A10="","",COUNTIFS('Match Data'!$B$5:$B$2000,$A10,'Match Data'!$I$5:$I$2000,"Win"))</f>
        <v>3</v>
      </c>
      <c r="K10" s="18">
        <f t="shared" si="1"/>
        <v>0.6</v>
      </c>
      <c r="L10" s="14">
        <f>IFERROR(AVERAGEIFS('Match Data'!$J$5:$J$2000,'Match Data'!$B$5:$B$2000,$A10),"")</f>
        <v>3</v>
      </c>
      <c r="M10" s="14">
        <f>IFERROR(AVERAGEIFS('Match Data'!$K$5:$K$2000,'Match Data'!$B$5:$B$2000,$A10),"")</f>
        <v>2.5</v>
      </c>
      <c r="N10" s="14">
        <f>IFERROR(AVERAGEIFS('Match Data'!$L$5:$L$2000,'Match Data'!$B$5:$B$2000,$A10),"")</f>
        <v>3.5</v>
      </c>
      <c r="O10" s="14">
        <f>IFERROR(AVERAGEIFS('Match Data'!$M$5:$M$2000,'Match Data'!$B$5:$B$2000,$A10),"")</f>
        <v>2.5</v>
      </c>
      <c r="P10" s="37">
        <f>IFERROR(maxifs('Session Log'!$B$5:$B$2000,'Session Log'!$E$5:$E$2000,$A10),"")</f>
        <v>46091</v>
      </c>
      <c r="Q10" s="37">
        <f>IFERROR(maxifs('Match Data'!$C$5:$C$2000,'Match Data'!$B$5:$B$2000,$A10),"")</f>
        <v>46091</v>
      </c>
    </row>
    <row r="11">
      <c r="A11" s="35" t="str">
        <f>IF('Player Profile'!B11="","",'Player Profile'!B11)</f>
        <v>Arya</v>
      </c>
      <c r="B11" s="36" t="str">
        <f>IF(A11="","",'Player Profile'!K11)</f>
        <v>Yes</v>
      </c>
      <c r="C11" s="14">
        <f>IF(A11="","",COUNTIFS('Session Log'!$E$5:$E$2000,$A11))</f>
        <v>2</v>
      </c>
      <c r="D11" s="14">
        <f>IF(A11="","",SUMIFS('Session Log'!$M$5:$M$2000,'Session Log'!$E$5:$E$2000,$A11))</f>
        <v>30</v>
      </c>
      <c r="E11" s="14">
        <f>IF(A11="","",COUNTIFS('Skill Metrics'!$B$5:$B$2000,$A11))</f>
        <v>0</v>
      </c>
      <c r="F11" s="18" t="str">
        <f>IFERROR(AVERAGEIFS('Skill Metrics'!$J$5:$J$2000,'Skill Metrics'!$B$5:$B$2000,$A11),"")</f>
        <v/>
      </c>
      <c r="G11" s="18" t="str">
        <f>IFERROR(AVERAGEIFS('Skill Metrics'!$M$5:$M$2000,'Skill Metrics'!$B$5:$B$2000,$A11),"")</f>
        <v/>
      </c>
      <c r="H11" s="14" t="str">
        <f>IFERROR(AVERAGEIFS('Skill Metrics'!$O$5:$O$2000,'Skill Metrics'!$B$5:$B$2000,$A11),"")</f>
        <v/>
      </c>
      <c r="I11" s="14">
        <f>IF(A11="","",COUNTIFS('Match Data'!$B$5:$B$2000,$A11))</f>
        <v>2</v>
      </c>
      <c r="J11" s="14">
        <f>IF(A11="","",COUNTIFS('Match Data'!$B$5:$B$2000,$A11,'Match Data'!$I$5:$I$2000,"Win"))</f>
        <v>0</v>
      </c>
      <c r="K11" s="18">
        <f t="shared" si="1"/>
        <v>0</v>
      </c>
      <c r="L11" s="14" t="str">
        <f>IFERROR(AVERAGEIFS('Match Data'!$J$5:$J$2000,'Match Data'!$B$5:$B$2000,$A11),"")</f>
        <v/>
      </c>
      <c r="M11" s="14" t="str">
        <f>IFERROR(AVERAGEIFS('Match Data'!$K$5:$K$2000,'Match Data'!$B$5:$B$2000,$A11),"")</f>
        <v/>
      </c>
      <c r="N11" s="14" t="str">
        <f>IFERROR(AVERAGEIFS('Match Data'!$L$5:$L$2000,'Match Data'!$B$5:$B$2000,$A11),"")</f>
        <v/>
      </c>
      <c r="O11" s="14" t="str">
        <f>IFERROR(AVERAGEIFS('Match Data'!$M$5:$M$2000,'Match Data'!$B$5:$B$2000,$A11),"")</f>
        <v/>
      </c>
      <c r="P11" s="37">
        <f>IFERROR(maxifs('Session Log'!$B$5:$B$2000,'Session Log'!$E$5:$E$2000,$A11),"")</f>
        <v>46090</v>
      </c>
      <c r="Q11" s="37">
        <f>IFERROR(maxifs('Match Data'!$C$5:$C$2000,'Match Data'!$B$5:$B$2000,$A11),"")</f>
        <v>46090</v>
      </c>
    </row>
    <row r="12">
      <c r="A12" s="35" t="str">
        <f>IF('Player Profile'!B12="","",'Player Profile'!B12)</f>
        <v>Alan</v>
      </c>
      <c r="B12" s="36" t="str">
        <f>IF(A12="","",'Player Profile'!K12)</f>
        <v>Yes</v>
      </c>
      <c r="C12" s="14">
        <f>IF(A12="","",COUNTIFS('Session Log'!$E$5:$E$2000,$A12))</f>
        <v>0</v>
      </c>
      <c r="D12" s="14">
        <f>IF(A12="","",SUMIFS('Session Log'!$M$5:$M$2000,'Session Log'!$E$5:$E$2000,$A12))</f>
        <v>0</v>
      </c>
      <c r="E12" s="14">
        <f>IF(A12="","",COUNTIFS('Skill Metrics'!$B$5:$B$2000,$A12))</f>
        <v>0</v>
      </c>
      <c r="F12" s="18" t="str">
        <f>IFERROR(AVERAGEIFS('Skill Metrics'!$J$5:$J$2000,'Skill Metrics'!$B$5:$B$2000,$A12),"")</f>
        <v/>
      </c>
      <c r="G12" s="18" t="str">
        <f>IFERROR(AVERAGEIFS('Skill Metrics'!$M$5:$M$2000,'Skill Metrics'!$B$5:$B$2000,$A12),"")</f>
        <v/>
      </c>
      <c r="H12" s="14" t="str">
        <f>IFERROR(AVERAGEIFS('Skill Metrics'!$O$5:$O$2000,'Skill Metrics'!$B$5:$B$2000,$A12),"")</f>
        <v/>
      </c>
      <c r="I12" s="14">
        <f>IF(A12="","",COUNTIFS('Match Data'!$B$5:$B$2000,$A12))</f>
        <v>0</v>
      </c>
      <c r="J12" s="14">
        <f>IF(A12="","",COUNTIFS('Match Data'!$B$5:$B$2000,$A12,'Match Data'!$I$5:$I$2000,"Win"))</f>
        <v>0</v>
      </c>
      <c r="K12" s="18" t="str">
        <f t="shared" si="1"/>
        <v/>
      </c>
      <c r="L12" s="14" t="str">
        <f>IFERROR(AVERAGEIFS('Match Data'!$J$5:$J$2000,'Match Data'!$B$5:$B$2000,$A12),"")</f>
        <v/>
      </c>
      <c r="M12" s="14" t="str">
        <f>IFERROR(AVERAGEIFS('Match Data'!$K$5:$K$2000,'Match Data'!$B$5:$B$2000,$A12),"")</f>
        <v/>
      </c>
      <c r="N12" s="14" t="str">
        <f>IFERROR(AVERAGEIFS('Match Data'!$L$5:$L$2000,'Match Data'!$B$5:$B$2000,$A12),"")</f>
        <v/>
      </c>
      <c r="O12" s="14" t="str">
        <f>IFERROR(AVERAGEIFS('Match Data'!$M$5:$M$2000,'Match Data'!$B$5:$B$2000,$A12),"")</f>
        <v/>
      </c>
      <c r="P12" s="37">
        <f>IFERROR(maxifs('Session Log'!$B$5:$B$2000,'Session Log'!$E$5:$E$2000,$A12),"")</f>
        <v>0</v>
      </c>
      <c r="Q12" s="37">
        <f>IFERROR(maxifs('Match Data'!$C$5:$C$2000,'Match Data'!$B$5:$B$2000,$A12),"")</f>
        <v>0</v>
      </c>
    </row>
    <row r="13">
      <c r="A13" s="35" t="str">
        <f>IF('Player Profile'!B13="","",'Player Profile'!B13)</f>
        <v>Fedelesh</v>
      </c>
      <c r="B13" s="36" t="str">
        <f>IF(A13="","",'Player Profile'!K13)</f>
        <v>Yes</v>
      </c>
      <c r="C13" s="14">
        <f>IF(A13="","",COUNTIFS('Session Log'!$E$5:$E$2000,$A13))</f>
        <v>0</v>
      </c>
      <c r="D13" s="14">
        <f>IF(A13="","",SUMIFS('Session Log'!$M$5:$M$2000,'Session Log'!$E$5:$E$2000,$A13))</f>
        <v>0</v>
      </c>
      <c r="E13" s="14">
        <f>IF(A13="","",COUNTIFS('Skill Metrics'!$B$5:$B$2000,$A13))</f>
        <v>0</v>
      </c>
      <c r="F13" s="18" t="str">
        <f>IFERROR(AVERAGEIFS('Skill Metrics'!$J$5:$J$2000,'Skill Metrics'!$B$5:$B$2000,$A13),"")</f>
        <v/>
      </c>
      <c r="G13" s="18" t="str">
        <f>IFERROR(AVERAGEIFS('Skill Metrics'!$M$5:$M$2000,'Skill Metrics'!$B$5:$B$2000,$A13),"")</f>
        <v/>
      </c>
      <c r="H13" s="14" t="str">
        <f>IFERROR(AVERAGEIFS('Skill Metrics'!$O$5:$O$2000,'Skill Metrics'!$B$5:$B$2000,$A13),"")</f>
        <v/>
      </c>
      <c r="I13" s="14">
        <f>IF(A13="","",COUNTIFS('Match Data'!$B$5:$B$2000,$A13))</f>
        <v>0</v>
      </c>
      <c r="J13" s="14">
        <f>IF(A13="","",COUNTIFS('Match Data'!$B$5:$B$2000,$A13,'Match Data'!$I$5:$I$2000,"Win"))</f>
        <v>0</v>
      </c>
      <c r="K13" s="18" t="str">
        <f t="shared" si="1"/>
        <v/>
      </c>
      <c r="L13" s="14" t="str">
        <f>IFERROR(AVERAGEIFS('Match Data'!$J$5:$J$2000,'Match Data'!$B$5:$B$2000,$A13),"")</f>
        <v/>
      </c>
      <c r="M13" s="14" t="str">
        <f>IFERROR(AVERAGEIFS('Match Data'!$K$5:$K$2000,'Match Data'!$B$5:$B$2000,$A13),"")</f>
        <v/>
      </c>
      <c r="N13" s="14" t="str">
        <f>IFERROR(AVERAGEIFS('Match Data'!$L$5:$L$2000,'Match Data'!$B$5:$B$2000,$A13),"")</f>
        <v/>
      </c>
      <c r="O13" s="14" t="str">
        <f>IFERROR(AVERAGEIFS('Match Data'!$M$5:$M$2000,'Match Data'!$B$5:$B$2000,$A13),"")</f>
        <v/>
      </c>
      <c r="P13" s="37">
        <f>IFERROR(maxifs('Session Log'!$B$5:$B$2000,'Session Log'!$E$5:$E$2000,$A13),"")</f>
        <v>0</v>
      </c>
      <c r="Q13" s="37">
        <f>IFERROR(maxifs('Match Data'!$C$5:$C$2000,'Match Data'!$B$5:$B$2000,$A13),"")</f>
        <v>0</v>
      </c>
    </row>
    <row r="14">
      <c r="A14" s="35" t="str">
        <f>IF('Player Profile'!B14="","",'Player Profile'!B14)</f>
        <v>Vivek</v>
      </c>
      <c r="B14" s="36" t="str">
        <f>IF(A14="","",'Player Profile'!K14)</f>
        <v>Yes</v>
      </c>
      <c r="C14" s="14">
        <f>IF(A14="","",COUNTIFS('Session Log'!$E$5:$E$2000,$A14))</f>
        <v>0</v>
      </c>
      <c r="D14" s="14">
        <f>IF(A14="","",SUMIFS('Session Log'!$M$5:$M$2000,'Session Log'!$E$5:$E$2000,$A14))</f>
        <v>0</v>
      </c>
      <c r="E14" s="14">
        <f>IF(A14="","",COUNTIFS('Skill Metrics'!$B$5:$B$2000,$A14))</f>
        <v>0</v>
      </c>
      <c r="F14" s="18" t="str">
        <f>IFERROR(AVERAGEIFS('Skill Metrics'!$J$5:$J$2000,'Skill Metrics'!$B$5:$B$2000,$A14),"")</f>
        <v/>
      </c>
      <c r="G14" s="18" t="str">
        <f>IFERROR(AVERAGEIFS('Skill Metrics'!$M$5:$M$2000,'Skill Metrics'!$B$5:$B$2000,$A14),"")</f>
        <v/>
      </c>
      <c r="H14" s="14" t="str">
        <f>IFERROR(AVERAGEIFS('Skill Metrics'!$O$5:$O$2000,'Skill Metrics'!$B$5:$B$2000,$A14),"")</f>
        <v/>
      </c>
      <c r="I14" s="14">
        <f>IF(A14="","",COUNTIFS('Match Data'!$B$5:$B$2000,$A14))</f>
        <v>0</v>
      </c>
      <c r="J14" s="14">
        <f>IF(A14="","",COUNTIFS('Match Data'!$B$5:$B$2000,$A14,'Match Data'!$I$5:$I$2000,"Win"))</f>
        <v>0</v>
      </c>
      <c r="K14" s="18" t="str">
        <f t="shared" si="1"/>
        <v/>
      </c>
      <c r="L14" s="14" t="str">
        <f>IFERROR(AVERAGEIFS('Match Data'!$J$5:$J$2000,'Match Data'!$B$5:$B$2000,$A14),"")</f>
        <v/>
      </c>
      <c r="M14" s="14" t="str">
        <f>IFERROR(AVERAGEIFS('Match Data'!$K$5:$K$2000,'Match Data'!$B$5:$B$2000,$A14),"")</f>
        <v/>
      </c>
      <c r="N14" s="14" t="str">
        <f>IFERROR(AVERAGEIFS('Match Data'!$L$5:$L$2000,'Match Data'!$B$5:$B$2000,$A14),"")</f>
        <v/>
      </c>
      <c r="O14" s="14" t="str">
        <f>IFERROR(AVERAGEIFS('Match Data'!$M$5:$M$2000,'Match Data'!$B$5:$B$2000,$A14),"")</f>
        <v/>
      </c>
      <c r="P14" s="37">
        <f>IFERROR(maxifs('Session Log'!$B$5:$B$2000,'Session Log'!$E$5:$E$2000,$A14),"")</f>
        <v>0</v>
      </c>
      <c r="Q14" s="37">
        <f>IFERROR(maxifs('Match Data'!$C$5:$C$2000,'Match Data'!$B$5:$B$2000,$A14),"")</f>
        <v>0</v>
      </c>
    </row>
    <row r="15">
      <c r="A15" s="35" t="str">
        <f>IF('Player Profile'!B15="","",'Player Profile'!B15)</f>
        <v>Stephen</v>
      </c>
      <c r="B15" s="36" t="str">
        <f>IF(A15="","",'Player Profile'!K15)</f>
        <v>Yes</v>
      </c>
      <c r="C15" s="14">
        <f>IF(A15="","",COUNTIFS('Session Log'!$E$5:$E$2000,$A15))</f>
        <v>0</v>
      </c>
      <c r="D15" s="14">
        <f>IF(A15="","",SUMIFS('Session Log'!$M$5:$M$2000,'Session Log'!$E$5:$E$2000,$A15))</f>
        <v>0</v>
      </c>
      <c r="E15" s="14">
        <f>IF(A15="","",COUNTIFS('Skill Metrics'!$B$5:$B$2000,$A15))</f>
        <v>0</v>
      </c>
      <c r="F15" s="18" t="str">
        <f>IFERROR(AVERAGEIFS('Skill Metrics'!$J$5:$J$2000,'Skill Metrics'!$B$5:$B$2000,$A15),"")</f>
        <v/>
      </c>
      <c r="G15" s="18" t="str">
        <f>IFERROR(AVERAGEIFS('Skill Metrics'!$M$5:$M$2000,'Skill Metrics'!$B$5:$B$2000,$A15),"")</f>
        <v/>
      </c>
      <c r="H15" s="14" t="str">
        <f>IFERROR(AVERAGEIFS('Skill Metrics'!$O$5:$O$2000,'Skill Metrics'!$B$5:$B$2000,$A15),"")</f>
        <v/>
      </c>
      <c r="I15" s="14">
        <f>IF(A15="","",COUNTIFS('Match Data'!$B$5:$B$2000,$A15))</f>
        <v>0</v>
      </c>
      <c r="J15" s="14">
        <f>IF(A15="","",COUNTIFS('Match Data'!$B$5:$B$2000,$A15,'Match Data'!$I$5:$I$2000,"Win"))</f>
        <v>0</v>
      </c>
      <c r="K15" s="18" t="str">
        <f t="shared" si="1"/>
        <v/>
      </c>
      <c r="L15" s="14" t="str">
        <f>IFERROR(AVERAGEIFS('Match Data'!$J$5:$J$2000,'Match Data'!$B$5:$B$2000,$A15),"")</f>
        <v/>
      </c>
      <c r="M15" s="14" t="str">
        <f>IFERROR(AVERAGEIFS('Match Data'!$K$5:$K$2000,'Match Data'!$B$5:$B$2000,$A15),"")</f>
        <v/>
      </c>
      <c r="N15" s="14" t="str">
        <f>IFERROR(AVERAGEIFS('Match Data'!$L$5:$L$2000,'Match Data'!$B$5:$B$2000,$A15),"")</f>
        <v/>
      </c>
      <c r="O15" s="14" t="str">
        <f>IFERROR(AVERAGEIFS('Match Data'!$M$5:$M$2000,'Match Data'!$B$5:$B$2000,$A15),"")</f>
        <v/>
      </c>
      <c r="P15" s="37">
        <f>IFERROR(maxifs('Session Log'!$B$5:$B$2000,'Session Log'!$E$5:$E$2000,$A15),"")</f>
        <v>0</v>
      </c>
      <c r="Q15" s="37">
        <f>IFERROR(maxifs('Match Data'!$C$5:$C$2000,'Match Data'!$B$5:$B$2000,$A15),"")</f>
        <v>0</v>
      </c>
    </row>
    <row r="16">
      <c r="A16" s="35" t="str">
        <f>IF('Player Profile'!B16="","",'Player Profile'!B16)</f>
        <v>Srinivas</v>
      </c>
      <c r="B16" s="36" t="str">
        <f>IF(A16="","",'Player Profile'!K16)</f>
        <v>Yes</v>
      </c>
      <c r="C16" s="14">
        <f>IF(A16="","",COUNTIFS('Session Log'!$E$5:$E$2000,$A16))</f>
        <v>0</v>
      </c>
      <c r="D16" s="14">
        <f>IF(A16="","",SUMIFS('Session Log'!$M$5:$M$2000,'Session Log'!$E$5:$E$2000,$A16))</f>
        <v>0</v>
      </c>
      <c r="E16" s="14">
        <f>IF(A16="","",COUNTIFS('Skill Metrics'!$B$5:$B$2000,$A16))</f>
        <v>0</v>
      </c>
      <c r="F16" s="18" t="str">
        <f>IFERROR(AVERAGEIFS('Skill Metrics'!$J$5:$J$2000,'Skill Metrics'!$B$5:$B$2000,$A16),"")</f>
        <v/>
      </c>
      <c r="G16" s="18" t="str">
        <f>IFERROR(AVERAGEIFS('Skill Metrics'!$M$5:$M$2000,'Skill Metrics'!$B$5:$B$2000,$A16),"")</f>
        <v/>
      </c>
      <c r="H16" s="14" t="str">
        <f>IFERROR(AVERAGEIFS('Skill Metrics'!$O$5:$O$2000,'Skill Metrics'!$B$5:$B$2000,$A16),"")</f>
        <v/>
      </c>
      <c r="I16" s="14">
        <f>IF(A16="","",COUNTIFS('Match Data'!$B$5:$B$2000,$A16))</f>
        <v>0</v>
      </c>
      <c r="J16" s="14">
        <f>IF(A16="","",COUNTIFS('Match Data'!$B$5:$B$2000,$A16,'Match Data'!$I$5:$I$2000,"Win"))</f>
        <v>0</v>
      </c>
      <c r="K16" s="18" t="str">
        <f t="shared" si="1"/>
        <v/>
      </c>
      <c r="L16" s="14" t="str">
        <f>IFERROR(AVERAGEIFS('Match Data'!$J$5:$J$2000,'Match Data'!$B$5:$B$2000,$A16),"")</f>
        <v/>
      </c>
      <c r="M16" s="14" t="str">
        <f>IFERROR(AVERAGEIFS('Match Data'!$K$5:$K$2000,'Match Data'!$B$5:$B$2000,$A16),"")</f>
        <v/>
      </c>
      <c r="N16" s="14" t="str">
        <f>IFERROR(AVERAGEIFS('Match Data'!$L$5:$L$2000,'Match Data'!$B$5:$B$2000,$A16),"")</f>
        <v/>
      </c>
      <c r="O16" s="14" t="str">
        <f>IFERROR(AVERAGEIFS('Match Data'!$M$5:$M$2000,'Match Data'!$B$5:$B$2000,$A16),"")</f>
        <v/>
      </c>
      <c r="P16" s="37">
        <f>IFERROR(maxifs('Session Log'!$B$5:$B$2000,'Session Log'!$E$5:$E$2000,$A16),"")</f>
        <v>0</v>
      </c>
      <c r="Q16" s="37">
        <f>IFERROR(maxifs('Match Data'!$C$5:$C$2000,'Match Data'!$B$5:$B$2000,$A16),"")</f>
        <v>0</v>
      </c>
    </row>
    <row r="17">
      <c r="A17" s="35" t="str">
        <f>IF('Player Profile'!B17="","",'Player Profile'!B17)</f>
        <v>Elan</v>
      </c>
      <c r="B17" s="36" t="str">
        <f>IF(A17="","",'Player Profile'!K17)</f>
        <v>Yes</v>
      </c>
      <c r="C17" s="14">
        <f>IF(A17="","",COUNTIFS('Session Log'!$E$5:$E$2000,$A17))</f>
        <v>0</v>
      </c>
      <c r="D17" s="14">
        <f>IF(A17="","",SUMIFS('Session Log'!$M$5:$M$2000,'Session Log'!$E$5:$E$2000,$A17))</f>
        <v>0</v>
      </c>
      <c r="E17" s="14">
        <f>IF(A17="","",COUNTIFS('Skill Metrics'!$B$5:$B$2000,$A17))</f>
        <v>0</v>
      </c>
      <c r="F17" s="18" t="str">
        <f>IFERROR(AVERAGEIFS('Skill Metrics'!$J$5:$J$2000,'Skill Metrics'!$B$5:$B$2000,$A17),"")</f>
        <v/>
      </c>
      <c r="G17" s="18" t="str">
        <f>IFERROR(AVERAGEIFS('Skill Metrics'!$M$5:$M$2000,'Skill Metrics'!$B$5:$B$2000,$A17),"")</f>
        <v/>
      </c>
      <c r="H17" s="14" t="str">
        <f>IFERROR(AVERAGEIFS('Skill Metrics'!$O$5:$O$2000,'Skill Metrics'!$B$5:$B$2000,$A17),"")</f>
        <v/>
      </c>
      <c r="I17" s="14">
        <f>IF(A17="","",COUNTIFS('Match Data'!$B$5:$B$2000,$A17))</f>
        <v>0</v>
      </c>
      <c r="J17" s="14">
        <f>IF(A17="","",COUNTIFS('Match Data'!$B$5:$B$2000,$A17,'Match Data'!$I$5:$I$2000,"Win"))</f>
        <v>0</v>
      </c>
      <c r="K17" s="18" t="str">
        <f t="shared" si="1"/>
        <v/>
      </c>
      <c r="L17" s="14" t="str">
        <f>IFERROR(AVERAGEIFS('Match Data'!$J$5:$J$2000,'Match Data'!$B$5:$B$2000,$A17),"")</f>
        <v/>
      </c>
      <c r="M17" s="14" t="str">
        <f>IFERROR(AVERAGEIFS('Match Data'!$K$5:$K$2000,'Match Data'!$B$5:$B$2000,$A17),"")</f>
        <v/>
      </c>
      <c r="N17" s="14" t="str">
        <f>IFERROR(AVERAGEIFS('Match Data'!$L$5:$L$2000,'Match Data'!$B$5:$B$2000,$A17),"")</f>
        <v/>
      </c>
      <c r="O17" s="14" t="str">
        <f>IFERROR(AVERAGEIFS('Match Data'!$M$5:$M$2000,'Match Data'!$B$5:$B$2000,$A17),"")</f>
        <v/>
      </c>
      <c r="P17" s="37">
        <f>IFERROR(maxifs('Session Log'!$B$5:$B$2000,'Session Log'!$E$5:$E$2000,$A17),"")</f>
        <v>0</v>
      </c>
      <c r="Q17" s="37">
        <f>IFERROR(maxifs('Match Data'!$C$5:$C$2000,'Match Data'!$B$5:$B$2000,$A17),"")</f>
        <v>0</v>
      </c>
    </row>
    <row r="18">
      <c r="A18" s="35" t="str">
        <f>IF('Player Profile'!B18="","",'Player Profile'!B18)</f>
        <v/>
      </c>
      <c r="B18" s="36" t="str">
        <f>IF(A18="","",'Player Profile'!K18)</f>
        <v/>
      </c>
      <c r="C18" s="14" t="str">
        <f>IF(A18="","",COUNTIFS('Session Log'!$E$5:$E$2000,$A18))</f>
        <v/>
      </c>
      <c r="D18" s="14" t="str">
        <f>IF(A18="","",SUMIFS('Session Log'!$M$5:$M$2000,'Session Log'!$E$5:$E$2000,$A18))</f>
        <v/>
      </c>
      <c r="E18" s="14" t="str">
        <f>IF(A18="","",COUNTIFS('Skill Metrics'!$B$5:$B$2000,$A18))</f>
        <v/>
      </c>
      <c r="F18" s="18" t="str">
        <f>IFERROR(AVERAGEIFS('Skill Metrics'!$J$5:$J$2000,'Skill Metrics'!$B$5:$B$2000,$A18),"")</f>
        <v/>
      </c>
      <c r="G18" s="18" t="str">
        <f>IFERROR(AVERAGEIFS('Skill Metrics'!$M$5:$M$2000,'Skill Metrics'!$B$5:$B$2000,$A18),"")</f>
        <v/>
      </c>
      <c r="H18" s="14" t="str">
        <f>IFERROR(AVERAGEIFS('Skill Metrics'!$O$5:$O$2000,'Skill Metrics'!$B$5:$B$2000,$A18),"")</f>
        <v/>
      </c>
      <c r="I18" s="14" t="str">
        <f>IF(A18="","",COUNTIFS('Match Data'!$B$5:$B$2000,$A18))</f>
        <v/>
      </c>
      <c r="J18" s="14" t="str">
        <f>IF(A18="","",COUNTIFS('Match Data'!$B$5:$B$2000,$A18,'Match Data'!$I$5:$I$2000,"Win"))</f>
        <v/>
      </c>
      <c r="K18" s="18" t="str">
        <f t="shared" si="1"/>
        <v/>
      </c>
      <c r="L18" s="14" t="str">
        <f>IFERROR(AVERAGEIFS('Match Data'!$J$5:$J$2000,'Match Data'!$B$5:$B$2000,$A18),"")</f>
        <v/>
      </c>
      <c r="M18" s="14" t="str">
        <f>IFERROR(AVERAGEIFS('Match Data'!$K$5:$K$2000,'Match Data'!$B$5:$B$2000,$A18),"")</f>
        <v/>
      </c>
      <c r="N18" s="14" t="str">
        <f>IFERROR(AVERAGEIFS('Match Data'!$L$5:$L$2000,'Match Data'!$B$5:$B$2000,$A18),"")</f>
        <v/>
      </c>
      <c r="O18" s="14" t="str">
        <f>IFERROR(AVERAGEIFS('Match Data'!$M$5:$M$2000,'Match Data'!$B$5:$B$2000,$A18),"")</f>
        <v/>
      </c>
      <c r="P18" s="37">
        <f>IFERROR(maxifs('Session Log'!$B$5:$B$2000,'Session Log'!$E$5:$E$2000,$A18),"")</f>
        <v>0</v>
      </c>
      <c r="Q18" s="37">
        <f>IFERROR(maxifs('Match Data'!$C$5:$C$2000,'Match Data'!$B$5:$B$2000,$A18),"")</f>
        <v>0</v>
      </c>
    </row>
    <row r="19">
      <c r="A19" s="35" t="str">
        <f>IF('Player Profile'!B19="","",'Player Profile'!B19)</f>
        <v/>
      </c>
      <c r="B19" s="36" t="str">
        <f>IF(A19="","",'Player Profile'!K19)</f>
        <v/>
      </c>
      <c r="C19" s="14" t="str">
        <f>IF(A19="","",COUNTIFS('Session Log'!$E$5:$E$2000,$A19))</f>
        <v/>
      </c>
      <c r="D19" s="14" t="str">
        <f>IF(A19="","",SUMIFS('Session Log'!$M$5:$M$2000,'Session Log'!$E$5:$E$2000,$A19))</f>
        <v/>
      </c>
      <c r="E19" s="14" t="str">
        <f>IF(A19="","",COUNTIFS('Skill Metrics'!$B$5:$B$2000,$A19))</f>
        <v/>
      </c>
      <c r="F19" s="18" t="str">
        <f>IFERROR(AVERAGEIFS('Skill Metrics'!$J$5:$J$2000,'Skill Metrics'!$B$5:$B$2000,$A19),"")</f>
        <v/>
      </c>
      <c r="G19" s="18" t="str">
        <f>IFERROR(AVERAGEIFS('Skill Metrics'!$M$5:$M$2000,'Skill Metrics'!$B$5:$B$2000,$A19),"")</f>
        <v/>
      </c>
      <c r="H19" s="14" t="str">
        <f>IFERROR(AVERAGEIFS('Skill Metrics'!$O$5:$O$2000,'Skill Metrics'!$B$5:$B$2000,$A19),"")</f>
        <v/>
      </c>
      <c r="I19" s="14" t="str">
        <f>IF(A19="","",COUNTIFS('Match Data'!$B$5:$B$2000,$A19))</f>
        <v/>
      </c>
      <c r="J19" s="14" t="str">
        <f>IF(A19="","",COUNTIFS('Match Data'!$B$5:$B$2000,$A19,'Match Data'!$I$5:$I$2000,"Win"))</f>
        <v/>
      </c>
      <c r="K19" s="18" t="str">
        <f t="shared" si="1"/>
        <v/>
      </c>
      <c r="L19" s="14" t="str">
        <f>IFERROR(AVERAGEIFS('Match Data'!$J$5:$J$2000,'Match Data'!$B$5:$B$2000,$A19),"")</f>
        <v/>
      </c>
      <c r="M19" s="14" t="str">
        <f>IFERROR(AVERAGEIFS('Match Data'!$K$5:$K$2000,'Match Data'!$B$5:$B$2000,$A19),"")</f>
        <v/>
      </c>
      <c r="N19" s="14" t="str">
        <f>IFERROR(AVERAGEIFS('Match Data'!$L$5:$L$2000,'Match Data'!$B$5:$B$2000,$A19),"")</f>
        <v/>
      </c>
      <c r="O19" s="14" t="str">
        <f>IFERROR(AVERAGEIFS('Match Data'!$M$5:$M$2000,'Match Data'!$B$5:$B$2000,$A19),"")</f>
        <v/>
      </c>
      <c r="P19" s="37">
        <f>IFERROR(maxifs('Session Log'!$B$5:$B$2000,'Session Log'!$E$5:$E$2000,$A19),"")</f>
        <v>0</v>
      </c>
      <c r="Q19" s="37">
        <f>IFERROR(maxifs('Match Data'!$C$5:$C$2000,'Match Data'!$B$5:$B$2000,$A19),"")</f>
        <v>0</v>
      </c>
    </row>
    <row r="20">
      <c r="A20" s="35" t="str">
        <f>IF('Player Profile'!B20="","",'Player Profile'!B20)</f>
        <v/>
      </c>
      <c r="B20" s="36" t="str">
        <f>IF(A20="","",'Player Profile'!K20)</f>
        <v/>
      </c>
      <c r="C20" s="14" t="str">
        <f>IF(A20="","",COUNTIFS('Session Log'!$E$5:$E$2000,$A20))</f>
        <v/>
      </c>
      <c r="D20" s="14" t="str">
        <f>IF(A20="","",SUMIFS('Session Log'!$M$5:$M$2000,'Session Log'!$E$5:$E$2000,$A20))</f>
        <v/>
      </c>
      <c r="E20" s="14" t="str">
        <f>IF(A20="","",COUNTIFS('Skill Metrics'!$B$5:$B$2000,$A20))</f>
        <v/>
      </c>
      <c r="F20" s="18" t="str">
        <f>IFERROR(AVERAGEIFS('Skill Metrics'!$J$5:$J$2000,'Skill Metrics'!$B$5:$B$2000,$A20),"")</f>
        <v/>
      </c>
      <c r="G20" s="18" t="str">
        <f>IFERROR(AVERAGEIFS('Skill Metrics'!$M$5:$M$2000,'Skill Metrics'!$B$5:$B$2000,$A20),"")</f>
        <v/>
      </c>
      <c r="H20" s="14" t="str">
        <f>IFERROR(AVERAGEIFS('Skill Metrics'!$O$5:$O$2000,'Skill Metrics'!$B$5:$B$2000,$A20),"")</f>
        <v/>
      </c>
      <c r="I20" s="14" t="str">
        <f>IF(A20="","",COUNTIFS('Match Data'!$B$5:$B$2000,$A20))</f>
        <v/>
      </c>
      <c r="J20" s="14" t="str">
        <f>IF(A20="","",COUNTIFS('Match Data'!$B$5:$B$2000,$A20,'Match Data'!$I$5:$I$2000,"Win"))</f>
        <v/>
      </c>
      <c r="K20" s="18" t="str">
        <f t="shared" si="1"/>
        <v/>
      </c>
      <c r="L20" s="14" t="str">
        <f>IFERROR(AVERAGEIFS('Match Data'!$J$5:$J$2000,'Match Data'!$B$5:$B$2000,$A20),"")</f>
        <v/>
      </c>
      <c r="M20" s="14" t="str">
        <f>IFERROR(AVERAGEIFS('Match Data'!$K$5:$K$2000,'Match Data'!$B$5:$B$2000,$A20),"")</f>
        <v/>
      </c>
      <c r="N20" s="14" t="str">
        <f>IFERROR(AVERAGEIFS('Match Data'!$L$5:$L$2000,'Match Data'!$B$5:$B$2000,$A20),"")</f>
        <v/>
      </c>
      <c r="O20" s="14" t="str">
        <f>IFERROR(AVERAGEIFS('Match Data'!$M$5:$M$2000,'Match Data'!$B$5:$B$2000,$A20),"")</f>
        <v/>
      </c>
      <c r="P20" s="37">
        <f>IFERROR(maxifs('Session Log'!$B$5:$B$2000,'Session Log'!$E$5:$E$2000,$A20),"")</f>
        <v>0</v>
      </c>
      <c r="Q20" s="37">
        <f>IFERROR(maxifs('Match Data'!$C$5:$C$2000,'Match Data'!$B$5:$B$2000,$A20),"")</f>
        <v>0</v>
      </c>
    </row>
    <row r="21" ht="15.75" customHeight="1">
      <c r="A21" s="35" t="str">
        <f>IF('Player Profile'!B21="","",'Player Profile'!B21)</f>
        <v/>
      </c>
      <c r="B21" s="36" t="str">
        <f>IF(A21="","",'Player Profile'!K21)</f>
        <v/>
      </c>
      <c r="C21" s="14" t="str">
        <f>IF(A21="","",COUNTIFS('Session Log'!$E$5:$E$2000,$A21))</f>
        <v/>
      </c>
      <c r="D21" s="14" t="str">
        <f>IF(A21="","",SUMIFS('Session Log'!$M$5:$M$2000,'Session Log'!$E$5:$E$2000,$A21))</f>
        <v/>
      </c>
      <c r="E21" s="14" t="str">
        <f>IF(A21="","",COUNTIFS('Skill Metrics'!$B$5:$B$2000,$A21))</f>
        <v/>
      </c>
      <c r="F21" s="18" t="str">
        <f>IFERROR(AVERAGEIFS('Skill Metrics'!$J$5:$J$2000,'Skill Metrics'!$B$5:$B$2000,$A21),"")</f>
        <v/>
      </c>
      <c r="G21" s="18" t="str">
        <f>IFERROR(AVERAGEIFS('Skill Metrics'!$M$5:$M$2000,'Skill Metrics'!$B$5:$B$2000,$A21),"")</f>
        <v/>
      </c>
      <c r="H21" s="14" t="str">
        <f>IFERROR(AVERAGEIFS('Skill Metrics'!$O$5:$O$2000,'Skill Metrics'!$B$5:$B$2000,$A21),"")</f>
        <v/>
      </c>
      <c r="I21" s="14" t="str">
        <f>IF(A21="","",COUNTIFS('Match Data'!$B$5:$B$2000,$A21))</f>
        <v/>
      </c>
      <c r="J21" s="14" t="str">
        <f>IF(A21="","",COUNTIFS('Match Data'!$B$5:$B$2000,$A21,'Match Data'!$I$5:$I$2000,"Win"))</f>
        <v/>
      </c>
      <c r="K21" s="18" t="str">
        <f t="shared" si="1"/>
        <v/>
      </c>
      <c r="L21" s="14" t="str">
        <f>IFERROR(AVERAGEIFS('Match Data'!$J$5:$J$2000,'Match Data'!$B$5:$B$2000,$A21),"")</f>
        <v/>
      </c>
      <c r="M21" s="14" t="str">
        <f>IFERROR(AVERAGEIFS('Match Data'!$K$5:$K$2000,'Match Data'!$B$5:$B$2000,$A21),"")</f>
        <v/>
      </c>
      <c r="N21" s="14" t="str">
        <f>IFERROR(AVERAGEIFS('Match Data'!$L$5:$L$2000,'Match Data'!$B$5:$B$2000,$A21),"")</f>
        <v/>
      </c>
      <c r="O21" s="14" t="str">
        <f>IFERROR(AVERAGEIFS('Match Data'!$M$5:$M$2000,'Match Data'!$B$5:$B$2000,$A21),"")</f>
        <v/>
      </c>
      <c r="P21" s="37">
        <f>IFERROR(maxifs('Session Log'!$B$5:$B$2000,'Session Log'!$E$5:$E$2000,$A21),"")</f>
        <v>0</v>
      </c>
      <c r="Q21" s="37">
        <f>IFERROR(maxifs('Match Data'!$C$5:$C$2000,'Match Data'!$B$5:$B$2000,$A21),"")</f>
        <v>0</v>
      </c>
    </row>
    <row r="22" ht="15.75" customHeight="1">
      <c r="A22" s="35" t="str">
        <f>IF('Player Profile'!B22="","",'Player Profile'!B22)</f>
        <v/>
      </c>
      <c r="B22" s="36" t="str">
        <f>IF(A22="","",'Player Profile'!K22)</f>
        <v/>
      </c>
      <c r="C22" s="14" t="str">
        <f>IF(A22="","",COUNTIFS('Session Log'!$E$5:$E$2000,$A22))</f>
        <v/>
      </c>
      <c r="D22" s="14" t="str">
        <f>IF(A22="","",SUMIFS('Session Log'!$M$5:$M$2000,'Session Log'!$E$5:$E$2000,$A22))</f>
        <v/>
      </c>
      <c r="E22" s="14" t="str">
        <f>IF(A22="","",COUNTIFS('Skill Metrics'!$B$5:$B$2000,$A22))</f>
        <v/>
      </c>
      <c r="F22" s="18" t="str">
        <f>IFERROR(AVERAGEIFS('Skill Metrics'!$J$5:$J$2000,'Skill Metrics'!$B$5:$B$2000,$A22),"")</f>
        <v/>
      </c>
      <c r="G22" s="18" t="str">
        <f>IFERROR(AVERAGEIFS('Skill Metrics'!$M$5:$M$2000,'Skill Metrics'!$B$5:$B$2000,$A22),"")</f>
        <v/>
      </c>
      <c r="H22" s="14" t="str">
        <f>IFERROR(AVERAGEIFS('Skill Metrics'!$O$5:$O$2000,'Skill Metrics'!$B$5:$B$2000,$A22),"")</f>
        <v/>
      </c>
      <c r="I22" s="14" t="str">
        <f>IF(A22="","",COUNTIFS('Match Data'!$B$5:$B$2000,$A22))</f>
        <v/>
      </c>
      <c r="J22" s="14" t="str">
        <f>IF(A22="","",COUNTIFS('Match Data'!$B$5:$B$2000,$A22,'Match Data'!$I$5:$I$2000,"Win"))</f>
        <v/>
      </c>
      <c r="K22" s="18" t="str">
        <f t="shared" si="1"/>
        <v/>
      </c>
      <c r="L22" s="14" t="str">
        <f>IFERROR(AVERAGEIFS('Match Data'!$J$5:$J$2000,'Match Data'!$B$5:$B$2000,$A22),"")</f>
        <v/>
      </c>
      <c r="M22" s="14" t="str">
        <f>IFERROR(AVERAGEIFS('Match Data'!$K$5:$K$2000,'Match Data'!$B$5:$B$2000,$A22),"")</f>
        <v/>
      </c>
      <c r="N22" s="14" t="str">
        <f>IFERROR(AVERAGEIFS('Match Data'!$L$5:$L$2000,'Match Data'!$B$5:$B$2000,$A22),"")</f>
        <v/>
      </c>
      <c r="O22" s="14" t="str">
        <f>IFERROR(AVERAGEIFS('Match Data'!$M$5:$M$2000,'Match Data'!$B$5:$B$2000,$A22),"")</f>
        <v/>
      </c>
      <c r="P22" s="37">
        <f>IFERROR(maxifs('Session Log'!$B$5:$B$2000,'Session Log'!$E$5:$E$2000,$A22),"")</f>
        <v>0</v>
      </c>
      <c r="Q22" s="37">
        <f>IFERROR(maxifs('Match Data'!$C$5:$C$2000,'Match Data'!$B$5:$B$2000,$A22),"")</f>
        <v>0</v>
      </c>
    </row>
    <row r="23" ht="15.75" customHeight="1">
      <c r="A23" s="35" t="str">
        <f>IF('Player Profile'!B23="","",'Player Profile'!B23)</f>
        <v/>
      </c>
      <c r="B23" s="36" t="str">
        <f>IF(A23="","",'Player Profile'!K23)</f>
        <v/>
      </c>
      <c r="C23" s="14" t="str">
        <f>IF(A23="","",COUNTIFS('Session Log'!$E$5:$E$2000,$A23))</f>
        <v/>
      </c>
      <c r="D23" s="14" t="str">
        <f>IF(A23="","",SUMIFS('Session Log'!$M$5:$M$2000,'Session Log'!$E$5:$E$2000,$A23))</f>
        <v/>
      </c>
      <c r="E23" s="14" t="str">
        <f>IF(A23="","",COUNTIFS('Skill Metrics'!$B$5:$B$2000,$A23))</f>
        <v/>
      </c>
      <c r="F23" s="18" t="str">
        <f>IFERROR(AVERAGEIFS('Skill Metrics'!$J$5:$J$2000,'Skill Metrics'!$B$5:$B$2000,$A23),"")</f>
        <v/>
      </c>
      <c r="G23" s="18" t="str">
        <f>IFERROR(AVERAGEIFS('Skill Metrics'!$M$5:$M$2000,'Skill Metrics'!$B$5:$B$2000,$A23),"")</f>
        <v/>
      </c>
      <c r="H23" s="14" t="str">
        <f>IFERROR(AVERAGEIFS('Skill Metrics'!$O$5:$O$2000,'Skill Metrics'!$B$5:$B$2000,$A23),"")</f>
        <v/>
      </c>
      <c r="I23" s="14" t="str">
        <f>IF(A23="","",COUNTIFS('Match Data'!$B$5:$B$2000,$A23))</f>
        <v/>
      </c>
      <c r="J23" s="14" t="str">
        <f>IF(A23="","",COUNTIFS('Match Data'!$B$5:$B$2000,$A23,'Match Data'!$I$5:$I$2000,"Win"))</f>
        <v/>
      </c>
      <c r="K23" s="18" t="str">
        <f t="shared" si="1"/>
        <v/>
      </c>
      <c r="L23" s="14" t="str">
        <f>IFERROR(AVERAGEIFS('Match Data'!$J$5:$J$2000,'Match Data'!$B$5:$B$2000,$A23),"")</f>
        <v/>
      </c>
      <c r="M23" s="14" t="str">
        <f>IFERROR(AVERAGEIFS('Match Data'!$K$5:$K$2000,'Match Data'!$B$5:$B$2000,$A23),"")</f>
        <v/>
      </c>
      <c r="N23" s="14" t="str">
        <f>IFERROR(AVERAGEIFS('Match Data'!$L$5:$L$2000,'Match Data'!$B$5:$B$2000,$A23),"")</f>
        <v/>
      </c>
      <c r="O23" s="14" t="str">
        <f>IFERROR(AVERAGEIFS('Match Data'!$M$5:$M$2000,'Match Data'!$B$5:$B$2000,$A23),"")</f>
        <v/>
      </c>
      <c r="P23" s="37">
        <f>IFERROR(maxifs('Session Log'!$B$5:$B$2000,'Session Log'!$E$5:$E$2000,$A23),"")</f>
        <v>0</v>
      </c>
      <c r="Q23" s="37">
        <f>IFERROR(maxifs('Match Data'!$C$5:$C$2000,'Match Data'!$B$5:$B$2000,$A23),"")</f>
        <v>0</v>
      </c>
    </row>
    <row r="24" ht="15.75" customHeight="1">
      <c r="A24" s="35" t="str">
        <f>IF('Player Profile'!B24="","",'Player Profile'!B24)</f>
        <v/>
      </c>
      <c r="B24" s="36" t="str">
        <f>IF(A24="","",'Player Profile'!K24)</f>
        <v/>
      </c>
      <c r="C24" s="14" t="str">
        <f>IF(A24="","",COUNTIFS('Session Log'!$E$5:$E$2000,$A24))</f>
        <v/>
      </c>
      <c r="D24" s="14" t="str">
        <f>IF(A24="","",SUMIFS('Session Log'!$M$5:$M$2000,'Session Log'!$E$5:$E$2000,$A24))</f>
        <v/>
      </c>
      <c r="E24" s="14" t="str">
        <f>IF(A24="","",COUNTIFS('Skill Metrics'!$B$5:$B$2000,$A24))</f>
        <v/>
      </c>
      <c r="F24" s="18" t="str">
        <f>IFERROR(AVERAGEIFS('Skill Metrics'!$J$5:$J$2000,'Skill Metrics'!$B$5:$B$2000,$A24),"")</f>
        <v/>
      </c>
      <c r="G24" s="18" t="str">
        <f>IFERROR(AVERAGEIFS('Skill Metrics'!$M$5:$M$2000,'Skill Metrics'!$B$5:$B$2000,$A24),"")</f>
        <v/>
      </c>
      <c r="H24" s="14" t="str">
        <f>IFERROR(AVERAGEIFS('Skill Metrics'!$O$5:$O$2000,'Skill Metrics'!$B$5:$B$2000,$A24),"")</f>
        <v/>
      </c>
      <c r="I24" s="14" t="str">
        <f>IF(A24="","",COUNTIFS('Match Data'!$B$5:$B$2000,$A24))</f>
        <v/>
      </c>
      <c r="J24" s="14" t="str">
        <f>IF(A24="","",COUNTIFS('Match Data'!$B$5:$B$2000,$A24,'Match Data'!$I$5:$I$2000,"Win"))</f>
        <v/>
      </c>
      <c r="K24" s="18" t="str">
        <f t="shared" si="1"/>
        <v/>
      </c>
      <c r="L24" s="14" t="str">
        <f>IFERROR(AVERAGEIFS('Match Data'!$J$5:$J$2000,'Match Data'!$B$5:$B$2000,$A24),"")</f>
        <v/>
      </c>
      <c r="M24" s="14" t="str">
        <f>IFERROR(AVERAGEIFS('Match Data'!$K$5:$K$2000,'Match Data'!$B$5:$B$2000,$A24),"")</f>
        <v/>
      </c>
      <c r="N24" s="14" t="str">
        <f>IFERROR(AVERAGEIFS('Match Data'!$L$5:$L$2000,'Match Data'!$B$5:$B$2000,$A24),"")</f>
        <v/>
      </c>
      <c r="O24" s="14" t="str">
        <f>IFERROR(AVERAGEIFS('Match Data'!$M$5:$M$2000,'Match Data'!$B$5:$B$2000,$A24),"")</f>
        <v/>
      </c>
      <c r="P24" s="37">
        <f>IFERROR(maxifs('Session Log'!$B$5:$B$2000,'Session Log'!$E$5:$E$2000,$A24),"")</f>
        <v>0</v>
      </c>
      <c r="Q24" s="37">
        <f>IFERROR(maxifs('Match Data'!$C$5:$C$2000,'Match Data'!$B$5:$B$2000,$A24),"")</f>
        <v>0</v>
      </c>
    </row>
    <row r="25" ht="15.75" customHeight="1">
      <c r="A25" s="35" t="str">
        <f>IF('Player Profile'!B25="","",'Player Profile'!B25)</f>
        <v/>
      </c>
      <c r="B25" s="36" t="str">
        <f>IF(A25="","",'Player Profile'!K25)</f>
        <v/>
      </c>
      <c r="C25" s="14" t="str">
        <f>IF(A25="","",COUNTIFS('Session Log'!$E$5:$E$2000,$A25))</f>
        <v/>
      </c>
      <c r="D25" s="14" t="str">
        <f>IF(A25="","",SUMIFS('Session Log'!$M$5:$M$2000,'Session Log'!$E$5:$E$2000,$A25))</f>
        <v/>
      </c>
      <c r="E25" s="14" t="str">
        <f>IF(A25="","",COUNTIFS('Skill Metrics'!$B$5:$B$2000,$A25))</f>
        <v/>
      </c>
      <c r="F25" s="18" t="str">
        <f>IFERROR(AVERAGEIFS('Skill Metrics'!$J$5:$J$2000,'Skill Metrics'!$B$5:$B$2000,$A25),"")</f>
        <v/>
      </c>
      <c r="G25" s="18" t="str">
        <f>IFERROR(AVERAGEIFS('Skill Metrics'!$M$5:$M$2000,'Skill Metrics'!$B$5:$B$2000,$A25),"")</f>
        <v/>
      </c>
      <c r="H25" s="14" t="str">
        <f>IFERROR(AVERAGEIFS('Skill Metrics'!$O$5:$O$2000,'Skill Metrics'!$B$5:$B$2000,$A25),"")</f>
        <v/>
      </c>
      <c r="I25" s="14" t="str">
        <f>IF(A25="","",COUNTIFS('Match Data'!$B$5:$B$2000,$A25))</f>
        <v/>
      </c>
      <c r="J25" s="14" t="str">
        <f>IF(A25="","",COUNTIFS('Match Data'!$B$5:$B$2000,$A25,'Match Data'!$I$5:$I$2000,"Win"))</f>
        <v/>
      </c>
      <c r="K25" s="18" t="str">
        <f t="shared" si="1"/>
        <v/>
      </c>
      <c r="L25" s="14" t="str">
        <f>IFERROR(AVERAGEIFS('Match Data'!$J$5:$J$2000,'Match Data'!$B$5:$B$2000,$A25),"")</f>
        <v/>
      </c>
      <c r="M25" s="14" t="str">
        <f>IFERROR(AVERAGEIFS('Match Data'!$K$5:$K$2000,'Match Data'!$B$5:$B$2000,$A25),"")</f>
        <v/>
      </c>
      <c r="N25" s="14" t="str">
        <f>IFERROR(AVERAGEIFS('Match Data'!$L$5:$L$2000,'Match Data'!$B$5:$B$2000,$A25),"")</f>
        <v/>
      </c>
      <c r="O25" s="14" t="str">
        <f>IFERROR(AVERAGEIFS('Match Data'!$M$5:$M$2000,'Match Data'!$B$5:$B$2000,$A25),"")</f>
        <v/>
      </c>
      <c r="P25" s="37">
        <f>IFERROR(maxifs('Session Log'!$B$5:$B$2000,'Session Log'!$E$5:$E$2000,$A25),"")</f>
        <v>0</v>
      </c>
      <c r="Q25" s="37">
        <f>IFERROR(maxifs('Match Data'!$C$5:$C$2000,'Match Data'!$B$5:$B$2000,$A25),"")</f>
        <v>0</v>
      </c>
    </row>
    <row r="26" ht="15.75" customHeight="1">
      <c r="A26" s="35" t="str">
        <f>IF('Player Profile'!B26="","",'Player Profile'!B26)</f>
        <v/>
      </c>
      <c r="B26" s="36" t="str">
        <f>IF(A26="","",'Player Profile'!K26)</f>
        <v/>
      </c>
      <c r="C26" s="14" t="str">
        <f>IF(A26="","",COUNTIFS('Session Log'!$E$5:$E$2000,$A26))</f>
        <v/>
      </c>
      <c r="D26" s="14" t="str">
        <f>IF(A26="","",SUMIFS('Session Log'!$M$5:$M$2000,'Session Log'!$E$5:$E$2000,$A26))</f>
        <v/>
      </c>
      <c r="E26" s="14" t="str">
        <f>IF(A26="","",COUNTIFS('Skill Metrics'!$B$5:$B$2000,$A26))</f>
        <v/>
      </c>
      <c r="F26" s="18" t="str">
        <f>IFERROR(AVERAGEIFS('Skill Metrics'!$J$5:$J$2000,'Skill Metrics'!$B$5:$B$2000,$A26),"")</f>
        <v/>
      </c>
      <c r="G26" s="18" t="str">
        <f>IFERROR(AVERAGEIFS('Skill Metrics'!$M$5:$M$2000,'Skill Metrics'!$B$5:$B$2000,$A26),"")</f>
        <v/>
      </c>
      <c r="H26" s="14" t="str">
        <f>IFERROR(AVERAGEIFS('Skill Metrics'!$O$5:$O$2000,'Skill Metrics'!$B$5:$B$2000,$A26),"")</f>
        <v/>
      </c>
      <c r="I26" s="14" t="str">
        <f>IF(A26="","",COUNTIFS('Match Data'!$B$5:$B$2000,$A26))</f>
        <v/>
      </c>
      <c r="J26" s="14" t="str">
        <f>IF(A26="","",COUNTIFS('Match Data'!$B$5:$B$2000,$A26,'Match Data'!$I$5:$I$2000,"Win"))</f>
        <v/>
      </c>
      <c r="K26" s="18" t="str">
        <f t="shared" si="1"/>
        <v/>
      </c>
      <c r="L26" s="14" t="str">
        <f>IFERROR(AVERAGEIFS('Match Data'!$J$5:$J$2000,'Match Data'!$B$5:$B$2000,$A26),"")</f>
        <v/>
      </c>
      <c r="M26" s="14" t="str">
        <f>IFERROR(AVERAGEIFS('Match Data'!$K$5:$K$2000,'Match Data'!$B$5:$B$2000,$A26),"")</f>
        <v/>
      </c>
      <c r="N26" s="14" t="str">
        <f>IFERROR(AVERAGEIFS('Match Data'!$L$5:$L$2000,'Match Data'!$B$5:$B$2000,$A26),"")</f>
        <v/>
      </c>
      <c r="O26" s="14" t="str">
        <f>IFERROR(AVERAGEIFS('Match Data'!$M$5:$M$2000,'Match Data'!$B$5:$B$2000,$A26),"")</f>
        <v/>
      </c>
      <c r="P26" s="37">
        <f>IFERROR(maxifs('Session Log'!$B$5:$B$2000,'Session Log'!$E$5:$E$2000,$A26),"")</f>
        <v>0</v>
      </c>
      <c r="Q26" s="37">
        <f>IFERROR(maxifs('Match Data'!$C$5:$C$2000,'Match Data'!$B$5:$B$2000,$A26),"")</f>
        <v>0</v>
      </c>
    </row>
    <row r="27" ht="15.75" customHeight="1">
      <c r="A27" s="35" t="str">
        <f>IF('Player Profile'!B27="","",'Player Profile'!B27)</f>
        <v/>
      </c>
      <c r="B27" s="36" t="str">
        <f>IF(A27="","",'Player Profile'!K27)</f>
        <v/>
      </c>
      <c r="C27" s="14" t="str">
        <f>IF(A27="","",COUNTIFS('Session Log'!$E$5:$E$2000,$A27))</f>
        <v/>
      </c>
      <c r="D27" s="14" t="str">
        <f>IF(A27="","",SUMIFS('Session Log'!$M$5:$M$2000,'Session Log'!$E$5:$E$2000,$A27))</f>
        <v/>
      </c>
      <c r="E27" s="14" t="str">
        <f>IF(A27="","",COUNTIFS('Skill Metrics'!$B$5:$B$2000,$A27))</f>
        <v/>
      </c>
      <c r="F27" s="18" t="str">
        <f>IFERROR(AVERAGEIFS('Skill Metrics'!$J$5:$J$2000,'Skill Metrics'!$B$5:$B$2000,$A27),"")</f>
        <v/>
      </c>
      <c r="G27" s="18" t="str">
        <f>IFERROR(AVERAGEIFS('Skill Metrics'!$M$5:$M$2000,'Skill Metrics'!$B$5:$B$2000,$A27),"")</f>
        <v/>
      </c>
      <c r="H27" s="14" t="str">
        <f>IFERROR(AVERAGEIFS('Skill Metrics'!$O$5:$O$2000,'Skill Metrics'!$B$5:$B$2000,$A27),"")</f>
        <v/>
      </c>
      <c r="I27" s="14" t="str">
        <f>IF(A27="","",COUNTIFS('Match Data'!$B$5:$B$2000,$A27))</f>
        <v/>
      </c>
      <c r="J27" s="14" t="str">
        <f>IF(A27="","",COUNTIFS('Match Data'!$B$5:$B$2000,$A27,'Match Data'!$I$5:$I$2000,"Win"))</f>
        <v/>
      </c>
      <c r="K27" s="18" t="str">
        <f t="shared" si="1"/>
        <v/>
      </c>
      <c r="L27" s="14" t="str">
        <f>IFERROR(AVERAGEIFS('Match Data'!$J$5:$J$2000,'Match Data'!$B$5:$B$2000,$A27),"")</f>
        <v/>
      </c>
      <c r="M27" s="14" t="str">
        <f>IFERROR(AVERAGEIFS('Match Data'!$K$5:$K$2000,'Match Data'!$B$5:$B$2000,$A27),"")</f>
        <v/>
      </c>
      <c r="N27" s="14" t="str">
        <f>IFERROR(AVERAGEIFS('Match Data'!$L$5:$L$2000,'Match Data'!$B$5:$B$2000,$A27),"")</f>
        <v/>
      </c>
      <c r="O27" s="14" t="str">
        <f>IFERROR(AVERAGEIFS('Match Data'!$M$5:$M$2000,'Match Data'!$B$5:$B$2000,$A27),"")</f>
        <v/>
      </c>
      <c r="P27" s="37">
        <f>IFERROR(maxifs('Session Log'!$B$5:$B$2000,'Session Log'!$E$5:$E$2000,$A27),"")</f>
        <v>0</v>
      </c>
      <c r="Q27" s="37">
        <f>IFERROR(maxifs('Match Data'!$C$5:$C$2000,'Match Data'!$B$5:$B$2000,$A27),"")</f>
        <v>0</v>
      </c>
    </row>
    <row r="28" ht="15.75" customHeight="1">
      <c r="A28" s="35" t="str">
        <f>IF('Player Profile'!B28="","",'Player Profile'!B28)</f>
        <v/>
      </c>
      <c r="B28" s="36" t="str">
        <f>IF(A28="","",'Player Profile'!K28)</f>
        <v/>
      </c>
      <c r="C28" s="14" t="str">
        <f>IF(A28="","",COUNTIFS('Session Log'!$E$5:$E$2000,$A28))</f>
        <v/>
      </c>
      <c r="D28" s="14" t="str">
        <f>IF(A28="","",SUMIFS('Session Log'!$M$5:$M$2000,'Session Log'!$E$5:$E$2000,$A28))</f>
        <v/>
      </c>
      <c r="E28" s="14" t="str">
        <f>IF(A28="","",COUNTIFS('Skill Metrics'!$B$5:$B$2000,$A28))</f>
        <v/>
      </c>
      <c r="F28" s="18" t="str">
        <f>IFERROR(AVERAGEIFS('Skill Metrics'!$J$5:$J$2000,'Skill Metrics'!$B$5:$B$2000,$A28),"")</f>
        <v/>
      </c>
      <c r="G28" s="18" t="str">
        <f>IFERROR(AVERAGEIFS('Skill Metrics'!$M$5:$M$2000,'Skill Metrics'!$B$5:$B$2000,$A28),"")</f>
        <v/>
      </c>
      <c r="H28" s="14" t="str">
        <f>IFERROR(AVERAGEIFS('Skill Metrics'!$O$5:$O$2000,'Skill Metrics'!$B$5:$B$2000,$A28),"")</f>
        <v/>
      </c>
      <c r="I28" s="14" t="str">
        <f>IF(A28="","",COUNTIFS('Match Data'!$B$5:$B$2000,$A28))</f>
        <v/>
      </c>
      <c r="J28" s="14" t="str">
        <f>IF(A28="","",COUNTIFS('Match Data'!$B$5:$B$2000,$A28,'Match Data'!$I$5:$I$2000,"Win"))</f>
        <v/>
      </c>
      <c r="K28" s="18" t="str">
        <f t="shared" si="1"/>
        <v/>
      </c>
      <c r="L28" s="14" t="str">
        <f>IFERROR(AVERAGEIFS('Match Data'!$J$5:$J$2000,'Match Data'!$B$5:$B$2000,$A28),"")</f>
        <v/>
      </c>
      <c r="M28" s="14" t="str">
        <f>IFERROR(AVERAGEIFS('Match Data'!$K$5:$K$2000,'Match Data'!$B$5:$B$2000,$A28),"")</f>
        <v/>
      </c>
      <c r="N28" s="14" t="str">
        <f>IFERROR(AVERAGEIFS('Match Data'!$L$5:$L$2000,'Match Data'!$B$5:$B$2000,$A28),"")</f>
        <v/>
      </c>
      <c r="O28" s="14" t="str">
        <f>IFERROR(AVERAGEIFS('Match Data'!$M$5:$M$2000,'Match Data'!$B$5:$B$2000,$A28),"")</f>
        <v/>
      </c>
      <c r="P28" s="37">
        <f>IFERROR(maxifs('Session Log'!$B$5:$B$2000,'Session Log'!$E$5:$E$2000,$A28),"")</f>
        <v>0</v>
      </c>
      <c r="Q28" s="37">
        <f>IFERROR(maxifs('Match Data'!$C$5:$C$2000,'Match Data'!$B$5:$B$2000,$A28),"")</f>
        <v>0</v>
      </c>
    </row>
    <row r="29" ht="15.75" customHeight="1">
      <c r="A29" s="35" t="str">
        <f>IF('Player Profile'!B29="","",'Player Profile'!B29)</f>
        <v/>
      </c>
      <c r="B29" s="36" t="str">
        <f>IF(A29="","",'Player Profile'!K29)</f>
        <v/>
      </c>
      <c r="C29" s="14" t="str">
        <f>IF(A29="","",COUNTIFS('Session Log'!$E$5:$E$2000,$A29))</f>
        <v/>
      </c>
      <c r="D29" s="14" t="str">
        <f>IF(A29="","",SUMIFS('Session Log'!$M$5:$M$2000,'Session Log'!$E$5:$E$2000,$A29))</f>
        <v/>
      </c>
      <c r="E29" s="14" t="str">
        <f>IF(A29="","",COUNTIFS('Skill Metrics'!$B$5:$B$2000,$A29))</f>
        <v/>
      </c>
      <c r="F29" s="18" t="str">
        <f>IFERROR(AVERAGEIFS('Skill Metrics'!$J$5:$J$2000,'Skill Metrics'!$B$5:$B$2000,$A29),"")</f>
        <v/>
      </c>
      <c r="G29" s="18" t="str">
        <f>IFERROR(AVERAGEIFS('Skill Metrics'!$M$5:$M$2000,'Skill Metrics'!$B$5:$B$2000,$A29),"")</f>
        <v/>
      </c>
      <c r="H29" s="14" t="str">
        <f>IFERROR(AVERAGEIFS('Skill Metrics'!$O$5:$O$2000,'Skill Metrics'!$B$5:$B$2000,$A29),"")</f>
        <v/>
      </c>
      <c r="I29" s="14" t="str">
        <f>IF(A29="","",COUNTIFS('Match Data'!$B$5:$B$2000,$A29))</f>
        <v/>
      </c>
      <c r="J29" s="14" t="str">
        <f>IF(A29="","",COUNTIFS('Match Data'!$B$5:$B$2000,$A29,'Match Data'!$I$5:$I$2000,"Win"))</f>
        <v/>
      </c>
      <c r="K29" s="18" t="str">
        <f t="shared" si="1"/>
        <v/>
      </c>
      <c r="L29" s="14" t="str">
        <f>IFERROR(AVERAGEIFS('Match Data'!$J$5:$J$2000,'Match Data'!$B$5:$B$2000,$A29),"")</f>
        <v/>
      </c>
      <c r="M29" s="14" t="str">
        <f>IFERROR(AVERAGEIFS('Match Data'!$K$5:$K$2000,'Match Data'!$B$5:$B$2000,$A29),"")</f>
        <v/>
      </c>
      <c r="N29" s="14" t="str">
        <f>IFERROR(AVERAGEIFS('Match Data'!$L$5:$L$2000,'Match Data'!$B$5:$B$2000,$A29),"")</f>
        <v/>
      </c>
      <c r="O29" s="14" t="str">
        <f>IFERROR(AVERAGEIFS('Match Data'!$M$5:$M$2000,'Match Data'!$B$5:$B$2000,$A29),"")</f>
        <v/>
      </c>
      <c r="P29" s="37">
        <f>IFERROR(maxifs('Session Log'!$B$5:$B$2000,'Session Log'!$E$5:$E$2000,$A29),"")</f>
        <v>0</v>
      </c>
      <c r="Q29" s="37">
        <f>IFERROR(maxifs('Match Data'!$C$5:$C$2000,'Match Data'!$B$5:$B$2000,$A29),"")</f>
        <v>0</v>
      </c>
    </row>
    <row r="30" ht="15.75" customHeight="1">
      <c r="A30" s="35" t="str">
        <f>IF('Player Profile'!B30="","",'Player Profile'!B30)</f>
        <v/>
      </c>
      <c r="B30" s="36" t="str">
        <f>IF(A30="","",'Player Profile'!K30)</f>
        <v/>
      </c>
      <c r="C30" s="14" t="str">
        <f>IF(A30="","",COUNTIFS('Session Log'!$E$5:$E$2000,$A30))</f>
        <v/>
      </c>
      <c r="D30" s="14" t="str">
        <f>IF(A30="","",SUMIFS('Session Log'!$M$5:$M$2000,'Session Log'!$E$5:$E$2000,$A30))</f>
        <v/>
      </c>
      <c r="E30" s="14" t="str">
        <f>IF(A30="","",COUNTIFS('Skill Metrics'!$B$5:$B$2000,$A30))</f>
        <v/>
      </c>
      <c r="F30" s="18" t="str">
        <f>IFERROR(AVERAGEIFS('Skill Metrics'!$J$5:$J$2000,'Skill Metrics'!$B$5:$B$2000,$A30),"")</f>
        <v/>
      </c>
      <c r="G30" s="18" t="str">
        <f>IFERROR(AVERAGEIFS('Skill Metrics'!$M$5:$M$2000,'Skill Metrics'!$B$5:$B$2000,$A30),"")</f>
        <v/>
      </c>
      <c r="H30" s="14" t="str">
        <f>IFERROR(AVERAGEIFS('Skill Metrics'!$O$5:$O$2000,'Skill Metrics'!$B$5:$B$2000,$A30),"")</f>
        <v/>
      </c>
      <c r="I30" s="14" t="str">
        <f>IF(A30="","",COUNTIFS('Match Data'!$B$5:$B$2000,$A30))</f>
        <v/>
      </c>
      <c r="J30" s="14" t="str">
        <f>IF(A30="","",COUNTIFS('Match Data'!$B$5:$B$2000,$A30,'Match Data'!$I$5:$I$2000,"Win"))</f>
        <v/>
      </c>
      <c r="K30" s="18" t="str">
        <f t="shared" si="1"/>
        <v/>
      </c>
      <c r="L30" s="14" t="str">
        <f>IFERROR(AVERAGEIFS('Match Data'!$J$5:$J$2000,'Match Data'!$B$5:$B$2000,$A30),"")</f>
        <v/>
      </c>
      <c r="M30" s="14" t="str">
        <f>IFERROR(AVERAGEIFS('Match Data'!$K$5:$K$2000,'Match Data'!$B$5:$B$2000,$A30),"")</f>
        <v/>
      </c>
      <c r="N30" s="14" t="str">
        <f>IFERROR(AVERAGEIFS('Match Data'!$L$5:$L$2000,'Match Data'!$B$5:$B$2000,$A30),"")</f>
        <v/>
      </c>
      <c r="O30" s="14" t="str">
        <f>IFERROR(AVERAGEIFS('Match Data'!$M$5:$M$2000,'Match Data'!$B$5:$B$2000,$A30),"")</f>
        <v/>
      </c>
      <c r="P30" s="37">
        <f>IFERROR(maxifs('Session Log'!$B$5:$B$2000,'Session Log'!$E$5:$E$2000,$A30),"")</f>
        <v>0</v>
      </c>
      <c r="Q30" s="37">
        <f>IFERROR(maxifs('Match Data'!$C$5:$C$2000,'Match Data'!$B$5:$B$2000,$A30),"")</f>
        <v>0</v>
      </c>
    </row>
    <row r="31" ht="15.75" customHeight="1">
      <c r="A31" s="35" t="str">
        <f>IF('Player Profile'!B31="","",'Player Profile'!B31)</f>
        <v/>
      </c>
      <c r="B31" s="36" t="str">
        <f>IF(A31="","",'Player Profile'!K31)</f>
        <v/>
      </c>
      <c r="C31" s="14" t="str">
        <f>IF(A31="","",COUNTIFS('Session Log'!$E$5:$E$2000,$A31))</f>
        <v/>
      </c>
      <c r="D31" s="14" t="str">
        <f>IF(A31="","",SUMIFS('Session Log'!$M$5:$M$2000,'Session Log'!$E$5:$E$2000,$A31))</f>
        <v/>
      </c>
      <c r="E31" s="14" t="str">
        <f>IF(A31="","",COUNTIFS('Skill Metrics'!$B$5:$B$2000,$A31))</f>
        <v/>
      </c>
      <c r="F31" s="18" t="str">
        <f>IFERROR(AVERAGEIFS('Skill Metrics'!$J$5:$J$2000,'Skill Metrics'!$B$5:$B$2000,$A31),"")</f>
        <v/>
      </c>
      <c r="G31" s="18" t="str">
        <f>IFERROR(AVERAGEIFS('Skill Metrics'!$M$5:$M$2000,'Skill Metrics'!$B$5:$B$2000,$A31),"")</f>
        <v/>
      </c>
      <c r="H31" s="14" t="str">
        <f>IFERROR(AVERAGEIFS('Skill Metrics'!$O$5:$O$2000,'Skill Metrics'!$B$5:$B$2000,$A31),"")</f>
        <v/>
      </c>
      <c r="I31" s="14" t="str">
        <f>IF(A31="","",COUNTIFS('Match Data'!$B$5:$B$2000,$A31))</f>
        <v/>
      </c>
      <c r="J31" s="14" t="str">
        <f>IF(A31="","",COUNTIFS('Match Data'!$B$5:$B$2000,$A31,'Match Data'!$I$5:$I$2000,"Win"))</f>
        <v/>
      </c>
      <c r="K31" s="18" t="str">
        <f t="shared" si="1"/>
        <v/>
      </c>
      <c r="L31" s="14" t="str">
        <f>IFERROR(AVERAGEIFS('Match Data'!$J$5:$J$2000,'Match Data'!$B$5:$B$2000,$A31),"")</f>
        <v/>
      </c>
      <c r="M31" s="14" t="str">
        <f>IFERROR(AVERAGEIFS('Match Data'!$K$5:$K$2000,'Match Data'!$B$5:$B$2000,$A31),"")</f>
        <v/>
      </c>
      <c r="N31" s="14" t="str">
        <f>IFERROR(AVERAGEIFS('Match Data'!$L$5:$L$2000,'Match Data'!$B$5:$B$2000,$A31),"")</f>
        <v/>
      </c>
      <c r="O31" s="14" t="str">
        <f>IFERROR(AVERAGEIFS('Match Data'!$M$5:$M$2000,'Match Data'!$B$5:$B$2000,$A31),"")</f>
        <v/>
      </c>
      <c r="P31" s="37">
        <f>IFERROR(maxifs('Session Log'!$B$5:$B$2000,'Session Log'!$E$5:$E$2000,$A31),"")</f>
        <v>0</v>
      </c>
      <c r="Q31" s="37">
        <f>IFERROR(maxifs('Match Data'!$C$5:$C$2000,'Match Data'!$B$5:$B$2000,$A31),"")</f>
        <v>0</v>
      </c>
    </row>
    <row r="32" ht="15.75" customHeight="1">
      <c r="A32" s="35" t="str">
        <f>IF('Player Profile'!B32="","",'Player Profile'!B32)</f>
        <v/>
      </c>
      <c r="B32" s="36" t="str">
        <f>IF(A32="","",'Player Profile'!K32)</f>
        <v/>
      </c>
      <c r="C32" s="14" t="str">
        <f>IF(A32="","",COUNTIFS('Session Log'!$E$5:$E$2000,$A32))</f>
        <v/>
      </c>
      <c r="D32" s="14" t="str">
        <f>IF(A32="","",SUMIFS('Session Log'!$M$5:$M$2000,'Session Log'!$E$5:$E$2000,$A32))</f>
        <v/>
      </c>
      <c r="E32" s="14" t="str">
        <f>IF(A32="","",COUNTIFS('Skill Metrics'!$B$5:$B$2000,$A32))</f>
        <v/>
      </c>
      <c r="F32" s="18" t="str">
        <f>IFERROR(AVERAGEIFS('Skill Metrics'!$J$5:$J$2000,'Skill Metrics'!$B$5:$B$2000,$A32),"")</f>
        <v/>
      </c>
      <c r="G32" s="18" t="str">
        <f>IFERROR(AVERAGEIFS('Skill Metrics'!$M$5:$M$2000,'Skill Metrics'!$B$5:$B$2000,$A32),"")</f>
        <v/>
      </c>
      <c r="H32" s="14" t="str">
        <f>IFERROR(AVERAGEIFS('Skill Metrics'!$O$5:$O$2000,'Skill Metrics'!$B$5:$B$2000,$A32),"")</f>
        <v/>
      </c>
      <c r="I32" s="14" t="str">
        <f>IF(A32="","",COUNTIFS('Match Data'!$B$5:$B$2000,$A32))</f>
        <v/>
      </c>
      <c r="J32" s="14" t="str">
        <f>IF(A32="","",COUNTIFS('Match Data'!$B$5:$B$2000,$A32,'Match Data'!$I$5:$I$2000,"Win"))</f>
        <v/>
      </c>
      <c r="K32" s="18" t="str">
        <f t="shared" si="1"/>
        <v/>
      </c>
      <c r="L32" s="14" t="str">
        <f>IFERROR(AVERAGEIFS('Match Data'!$J$5:$J$2000,'Match Data'!$B$5:$B$2000,$A32),"")</f>
        <v/>
      </c>
      <c r="M32" s="14" t="str">
        <f>IFERROR(AVERAGEIFS('Match Data'!$K$5:$K$2000,'Match Data'!$B$5:$B$2000,$A32),"")</f>
        <v/>
      </c>
      <c r="N32" s="14" t="str">
        <f>IFERROR(AVERAGEIFS('Match Data'!$L$5:$L$2000,'Match Data'!$B$5:$B$2000,$A32),"")</f>
        <v/>
      </c>
      <c r="O32" s="14" t="str">
        <f>IFERROR(AVERAGEIFS('Match Data'!$M$5:$M$2000,'Match Data'!$B$5:$B$2000,$A32),"")</f>
        <v/>
      </c>
      <c r="P32" s="37">
        <f>IFERROR(maxifs('Session Log'!$B$5:$B$2000,'Session Log'!$E$5:$E$2000,$A32),"")</f>
        <v>0</v>
      </c>
      <c r="Q32" s="37">
        <f>IFERROR(maxifs('Match Data'!$C$5:$C$2000,'Match Data'!$B$5:$B$2000,$A32),"")</f>
        <v>0</v>
      </c>
    </row>
    <row r="33" ht="15.75" customHeight="1">
      <c r="A33" s="35" t="str">
        <f>IF('Player Profile'!B33="","",'Player Profile'!B33)</f>
        <v/>
      </c>
      <c r="B33" s="36" t="str">
        <f>IF(A33="","",'Player Profile'!K33)</f>
        <v/>
      </c>
      <c r="C33" s="14" t="str">
        <f>IF(A33="","",COUNTIFS('Session Log'!$E$5:$E$2000,$A33))</f>
        <v/>
      </c>
      <c r="D33" s="14" t="str">
        <f>IF(A33="","",SUMIFS('Session Log'!$M$5:$M$2000,'Session Log'!$E$5:$E$2000,$A33))</f>
        <v/>
      </c>
      <c r="E33" s="14" t="str">
        <f>IF(A33="","",COUNTIFS('Skill Metrics'!$B$5:$B$2000,$A33))</f>
        <v/>
      </c>
      <c r="F33" s="18" t="str">
        <f>IFERROR(AVERAGEIFS('Skill Metrics'!$J$5:$J$2000,'Skill Metrics'!$B$5:$B$2000,$A33),"")</f>
        <v/>
      </c>
      <c r="G33" s="18" t="str">
        <f>IFERROR(AVERAGEIFS('Skill Metrics'!$M$5:$M$2000,'Skill Metrics'!$B$5:$B$2000,$A33),"")</f>
        <v/>
      </c>
      <c r="H33" s="14" t="str">
        <f>IFERROR(AVERAGEIFS('Skill Metrics'!$O$5:$O$2000,'Skill Metrics'!$B$5:$B$2000,$A33),"")</f>
        <v/>
      </c>
      <c r="I33" s="14" t="str">
        <f>IF(A33="","",COUNTIFS('Match Data'!$B$5:$B$2000,$A33))</f>
        <v/>
      </c>
      <c r="J33" s="14" t="str">
        <f>IF(A33="","",COUNTIFS('Match Data'!$B$5:$B$2000,$A33,'Match Data'!$I$5:$I$2000,"Win"))</f>
        <v/>
      </c>
      <c r="K33" s="18" t="str">
        <f t="shared" si="1"/>
        <v/>
      </c>
      <c r="L33" s="14" t="str">
        <f>IFERROR(AVERAGEIFS('Match Data'!$J$5:$J$2000,'Match Data'!$B$5:$B$2000,$A33),"")</f>
        <v/>
      </c>
      <c r="M33" s="14" t="str">
        <f>IFERROR(AVERAGEIFS('Match Data'!$K$5:$K$2000,'Match Data'!$B$5:$B$2000,$A33),"")</f>
        <v/>
      </c>
      <c r="N33" s="14" t="str">
        <f>IFERROR(AVERAGEIFS('Match Data'!$L$5:$L$2000,'Match Data'!$B$5:$B$2000,$A33),"")</f>
        <v/>
      </c>
      <c r="O33" s="14" t="str">
        <f>IFERROR(AVERAGEIFS('Match Data'!$M$5:$M$2000,'Match Data'!$B$5:$B$2000,$A33),"")</f>
        <v/>
      </c>
      <c r="P33" s="37">
        <f>IFERROR(maxifs('Session Log'!$B$5:$B$2000,'Session Log'!$E$5:$E$2000,$A33),"")</f>
        <v>0</v>
      </c>
      <c r="Q33" s="37">
        <f>IFERROR(maxifs('Match Data'!$C$5:$C$2000,'Match Data'!$B$5:$B$2000,$A33),"")</f>
        <v>0</v>
      </c>
    </row>
    <row r="34" ht="15.75" customHeight="1">
      <c r="A34" s="35" t="str">
        <f>IF('Player Profile'!B34="","",'Player Profile'!B34)</f>
        <v/>
      </c>
      <c r="B34" s="36" t="str">
        <f>IF(A34="","",'Player Profile'!K34)</f>
        <v/>
      </c>
      <c r="C34" s="14" t="str">
        <f>IF(A34="","",COUNTIFS('Session Log'!$E$5:$E$2000,$A34))</f>
        <v/>
      </c>
      <c r="D34" s="14" t="str">
        <f>IF(A34="","",SUMIFS('Session Log'!$M$5:$M$2000,'Session Log'!$E$5:$E$2000,$A34))</f>
        <v/>
      </c>
      <c r="E34" s="14" t="str">
        <f>IF(A34="","",COUNTIFS('Skill Metrics'!$B$5:$B$2000,$A34))</f>
        <v/>
      </c>
      <c r="F34" s="18" t="str">
        <f>IFERROR(AVERAGEIFS('Skill Metrics'!$J$5:$J$2000,'Skill Metrics'!$B$5:$B$2000,$A34),"")</f>
        <v/>
      </c>
      <c r="G34" s="18" t="str">
        <f>IFERROR(AVERAGEIFS('Skill Metrics'!$M$5:$M$2000,'Skill Metrics'!$B$5:$B$2000,$A34),"")</f>
        <v/>
      </c>
      <c r="H34" s="14" t="str">
        <f>IFERROR(AVERAGEIFS('Skill Metrics'!$O$5:$O$2000,'Skill Metrics'!$B$5:$B$2000,$A34),"")</f>
        <v/>
      </c>
      <c r="I34" s="14" t="str">
        <f>IF(A34="","",COUNTIFS('Match Data'!$B$5:$B$2000,$A34))</f>
        <v/>
      </c>
      <c r="J34" s="14" t="str">
        <f>IF(A34="","",COUNTIFS('Match Data'!$B$5:$B$2000,$A34,'Match Data'!$I$5:$I$2000,"Win"))</f>
        <v/>
      </c>
      <c r="K34" s="18" t="str">
        <f t="shared" si="1"/>
        <v/>
      </c>
      <c r="L34" s="14" t="str">
        <f>IFERROR(AVERAGEIFS('Match Data'!$J$5:$J$2000,'Match Data'!$B$5:$B$2000,$A34),"")</f>
        <v/>
      </c>
      <c r="M34" s="14" t="str">
        <f>IFERROR(AVERAGEIFS('Match Data'!$K$5:$K$2000,'Match Data'!$B$5:$B$2000,$A34),"")</f>
        <v/>
      </c>
      <c r="N34" s="14" t="str">
        <f>IFERROR(AVERAGEIFS('Match Data'!$L$5:$L$2000,'Match Data'!$B$5:$B$2000,$A34),"")</f>
        <v/>
      </c>
      <c r="O34" s="14" t="str">
        <f>IFERROR(AVERAGEIFS('Match Data'!$M$5:$M$2000,'Match Data'!$B$5:$B$2000,$A34),"")</f>
        <v/>
      </c>
      <c r="P34" s="37">
        <f>IFERROR(maxifs('Session Log'!$B$5:$B$2000,'Session Log'!$E$5:$E$2000,$A34),"")</f>
        <v>0</v>
      </c>
      <c r="Q34" s="37">
        <f>IFERROR(maxifs('Match Data'!$C$5:$C$2000,'Match Data'!$B$5:$B$2000,$A34),"")</f>
        <v>0</v>
      </c>
    </row>
    <row r="35" ht="15.75" customHeight="1">
      <c r="A35" s="35" t="str">
        <f>IF('Player Profile'!B35="","",'Player Profile'!B35)</f>
        <v/>
      </c>
      <c r="B35" s="36" t="str">
        <f>IF(A35="","",'Player Profile'!K35)</f>
        <v/>
      </c>
      <c r="C35" s="14" t="str">
        <f>IF(A35="","",COUNTIFS('Session Log'!$E$5:$E$2000,$A35))</f>
        <v/>
      </c>
      <c r="D35" s="14" t="str">
        <f>IF(A35="","",SUMIFS('Session Log'!$M$5:$M$2000,'Session Log'!$E$5:$E$2000,$A35))</f>
        <v/>
      </c>
      <c r="E35" s="14" t="str">
        <f>IF(A35="","",COUNTIFS('Skill Metrics'!$B$5:$B$2000,$A35))</f>
        <v/>
      </c>
      <c r="F35" s="18" t="str">
        <f>IFERROR(AVERAGEIFS('Skill Metrics'!$J$5:$J$2000,'Skill Metrics'!$B$5:$B$2000,$A35),"")</f>
        <v/>
      </c>
      <c r="G35" s="18" t="str">
        <f>IFERROR(AVERAGEIFS('Skill Metrics'!$M$5:$M$2000,'Skill Metrics'!$B$5:$B$2000,$A35),"")</f>
        <v/>
      </c>
      <c r="H35" s="14" t="str">
        <f>IFERROR(AVERAGEIFS('Skill Metrics'!$O$5:$O$2000,'Skill Metrics'!$B$5:$B$2000,$A35),"")</f>
        <v/>
      </c>
      <c r="I35" s="14" t="str">
        <f>IF(A35="","",COUNTIFS('Match Data'!$B$5:$B$2000,$A35))</f>
        <v/>
      </c>
      <c r="J35" s="14" t="str">
        <f>IF(A35="","",COUNTIFS('Match Data'!$B$5:$B$2000,$A35,'Match Data'!$I$5:$I$2000,"Win"))</f>
        <v/>
      </c>
      <c r="K35" s="18" t="str">
        <f t="shared" si="1"/>
        <v/>
      </c>
      <c r="L35" s="14" t="str">
        <f>IFERROR(AVERAGEIFS('Match Data'!$J$5:$J$2000,'Match Data'!$B$5:$B$2000,$A35),"")</f>
        <v/>
      </c>
      <c r="M35" s="14" t="str">
        <f>IFERROR(AVERAGEIFS('Match Data'!$K$5:$K$2000,'Match Data'!$B$5:$B$2000,$A35),"")</f>
        <v/>
      </c>
      <c r="N35" s="14" t="str">
        <f>IFERROR(AVERAGEIFS('Match Data'!$L$5:$L$2000,'Match Data'!$B$5:$B$2000,$A35),"")</f>
        <v/>
      </c>
      <c r="O35" s="14" t="str">
        <f>IFERROR(AVERAGEIFS('Match Data'!$M$5:$M$2000,'Match Data'!$B$5:$B$2000,$A35),"")</f>
        <v/>
      </c>
      <c r="P35" s="37">
        <f>IFERROR(maxifs('Session Log'!$B$5:$B$2000,'Session Log'!$E$5:$E$2000,$A35),"")</f>
        <v>0</v>
      </c>
      <c r="Q35" s="37">
        <f>IFERROR(maxifs('Match Data'!$C$5:$C$2000,'Match Data'!$B$5:$B$2000,$A35),"")</f>
        <v>0</v>
      </c>
    </row>
    <row r="36" ht="15.75" customHeight="1">
      <c r="A36" s="35" t="str">
        <f>IF('Player Profile'!B36="","",'Player Profile'!B36)</f>
        <v/>
      </c>
      <c r="B36" s="36" t="str">
        <f>IF(A36="","",'Player Profile'!K36)</f>
        <v/>
      </c>
      <c r="C36" s="14" t="str">
        <f>IF(A36="","",COUNTIFS('Session Log'!$E$5:$E$2000,$A36))</f>
        <v/>
      </c>
      <c r="D36" s="14" t="str">
        <f>IF(A36="","",SUMIFS('Session Log'!$M$5:$M$2000,'Session Log'!$E$5:$E$2000,$A36))</f>
        <v/>
      </c>
      <c r="E36" s="14" t="str">
        <f>IF(A36="","",COUNTIFS('Skill Metrics'!$B$5:$B$2000,$A36))</f>
        <v/>
      </c>
      <c r="F36" s="18" t="str">
        <f>IFERROR(AVERAGEIFS('Skill Metrics'!$J$5:$J$2000,'Skill Metrics'!$B$5:$B$2000,$A36),"")</f>
        <v/>
      </c>
      <c r="G36" s="18" t="str">
        <f>IFERROR(AVERAGEIFS('Skill Metrics'!$M$5:$M$2000,'Skill Metrics'!$B$5:$B$2000,$A36),"")</f>
        <v/>
      </c>
      <c r="H36" s="14" t="str">
        <f>IFERROR(AVERAGEIFS('Skill Metrics'!$O$5:$O$2000,'Skill Metrics'!$B$5:$B$2000,$A36),"")</f>
        <v/>
      </c>
      <c r="I36" s="14" t="str">
        <f>IF(A36="","",COUNTIFS('Match Data'!$B$5:$B$2000,$A36))</f>
        <v/>
      </c>
      <c r="J36" s="14" t="str">
        <f>IF(A36="","",COUNTIFS('Match Data'!$B$5:$B$2000,$A36,'Match Data'!$I$5:$I$2000,"Win"))</f>
        <v/>
      </c>
      <c r="K36" s="18" t="str">
        <f t="shared" si="1"/>
        <v/>
      </c>
      <c r="L36" s="14" t="str">
        <f>IFERROR(AVERAGEIFS('Match Data'!$J$5:$J$2000,'Match Data'!$B$5:$B$2000,$A36),"")</f>
        <v/>
      </c>
      <c r="M36" s="14" t="str">
        <f>IFERROR(AVERAGEIFS('Match Data'!$K$5:$K$2000,'Match Data'!$B$5:$B$2000,$A36),"")</f>
        <v/>
      </c>
      <c r="N36" s="14" t="str">
        <f>IFERROR(AVERAGEIFS('Match Data'!$L$5:$L$2000,'Match Data'!$B$5:$B$2000,$A36),"")</f>
        <v/>
      </c>
      <c r="O36" s="14" t="str">
        <f>IFERROR(AVERAGEIFS('Match Data'!$M$5:$M$2000,'Match Data'!$B$5:$B$2000,$A36),"")</f>
        <v/>
      </c>
      <c r="P36" s="37">
        <f>IFERROR(maxifs('Session Log'!$B$5:$B$2000,'Session Log'!$E$5:$E$2000,$A36),"")</f>
        <v>0</v>
      </c>
      <c r="Q36" s="37">
        <f>IFERROR(maxifs('Match Data'!$C$5:$C$2000,'Match Data'!$B$5:$B$2000,$A36),"")</f>
        <v>0</v>
      </c>
    </row>
    <row r="37" ht="15.75" customHeight="1">
      <c r="A37" s="35" t="str">
        <f>IF('Player Profile'!B37="","",'Player Profile'!B37)</f>
        <v/>
      </c>
      <c r="B37" s="36" t="str">
        <f>IF(A37="","",'Player Profile'!K37)</f>
        <v/>
      </c>
      <c r="C37" s="14" t="str">
        <f>IF(A37="","",COUNTIFS('Session Log'!$E$5:$E$2000,$A37))</f>
        <v/>
      </c>
      <c r="D37" s="14" t="str">
        <f>IF(A37="","",SUMIFS('Session Log'!$M$5:$M$2000,'Session Log'!$E$5:$E$2000,$A37))</f>
        <v/>
      </c>
      <c r="E37" s="14" t="str">
        <f>IF(A37="","",COUNTIFS('Skill Metrics'!$B$5:$B$2000,$A37))</f>
        <v/>
      </c>
      <c r="F37" s="18" t="str">
        <f>IFERROR(AVERAGEIFS('Skill Metrics'!$J$5:$J$2000,'Skill Metrics'!$B$5:$B$2000,$A37),"")</f>
        <v/>
      </c>
      <c r="G37" s="18" t="str">
        <f>IFERROR(AVERAGEIFS('Skill Metrics'!$M$5:$M$2000,'Skill Metrics'!$B$5:$B$2000,$A37),"")</f>
        <v/>
      </c>
      <c r="H37" s="14" t="str">
        <f>IFERROR(AVERAGEIFS('Skill Metrics'!$O$5:$O$2000,'Skill Metrics'!$B$5:$B$2000,$A37),"")</f>
        <v/>
      </c>
      <c r="I37" s="14" t="str">
        <f>IF(A37="","",COUNTIFS('Match Data'!$B$5:$B$2000,$A37))</f>
        <v/>
      </c>
      <c r="J37" s="14" t="str">
        <f>IF(A37="","",COUNTIFS('Match Data'!$B$5:$B$2000,$A37,'Match Data'!$I$5:$I$2000,"Win"))</f>
        <v/>
      </c>
      <c r="K37" s="18" t="str">
        <f t="shared" si="1"/>
        <v/>
      </c>
      <c r="L37" s="14" t="str">
        <f>IFERROR(AVERAGEIFS('Match Data'!$J$5:$J$2000,'Match Data'!$B$5:$B$2000,$A37),"")</f>
        <v/>
      </c>
      <c r="M37" s="14" t="str">
        <f>IFERROR(AVERAGEIFS('Match Data'!$K$5:$K$2000,'Match Data'!$B$5:$B$2000,$A37),"")</f>
        <v/>
      </c>
      <c r="N37" s="14" t="str">
        <f>IFERROR(AVERAGEIFS('Match Data'!$L$5:$L$2000,'Match Data'!$B$5:$B$2000,$A37),"")</f>
        <v/>
      </c>
      <c r="O37" s="14" t="str">
        <f>IFERROR(AVERAGEIFS('Match Data'!$M$5:$M$2000,'Match Data'!$B$5:$B$2000,$A37),"")</f>
        <v/>
      </c>
      <c r="P37" s="37">
        <f>IFERROR(maxifs('Session Log'!$B$5:$B$2000,'Session Log'!$E$5:$E$2000,$A37),"")</f>
        <v>0</v>
      </c>
      <c r="Q37" s="37">
        <f>IFERROR(maxifs('Match Data'!$C$5:$C$2000,'Match Data'!$B$5:$B$2000,$A37),"")</f>
        <v>0</v>
      </c>
    </row>
    <row r="38" ht="15.75" customHeight="1">
      <c r="A38" s="35" t="str">
        <f>IF('Player Profile'!B38="","",'Player Profile'!B38)</f>
        <v/>
      </c>
      <c r="B38" s="36" t="str">
        <f>IF(A38="","",'Player Profile'!K38)</f>
        <v/>
      </c>
      <c r="C38" s="14" t="str">
        <f>IF(A38="","",COUNTIFS('Session Log'!$E$5:$E$2000,$A38))</f>
        <v/>
      </c>
      <c r="D38" s="14" t="str">
        <f>IF(A38="","",SUMIFS('Session Log'!$M$5:$M$2000,'Session Log'!$E$5:$E$2000,$A38))</f>
        <v/>
      </c>
      <c r="E38" s="14" t="str">
        <f>IF(A38="","",COUNTIFS('Skill Metrics'!$B$5:$B$2000,$A38))</f>
        <v/>
      </c>
      <c r="F38" s="18" t="str">
        <f>IFERROR(AVERAGEIFS('Skill Metrics'!$J$5:$J$2000,'Skill Metrics'!$B$5:$B$2000,$A38),"")</f>
        <v/>
      </c>
      <c r="G38" s="18" t="str">
        <f>IFERROR(AVERAGEIFS('Skill Metrics'!$M$5:$M$2000,'Skill Metrics'!$B$5:$B$2000,$A38),"")</f>
        <v/>
      </c>
      <c r="H38" s="14" t="str">
        <f>IFERROR(AVERAGEIFS('Skill Metrics'!$O$5:$O$2000,'Skill Metrics'!$B$5:$B$2000,$A38),"")</f>
        <v/>
      </c>
      <c r="I38" s="14" t="str">
        <f>IF(A38="","",COUNTIFS('Match Data'!$B$5:$B$2000,$A38))</f>
        <v/>
      </c>
      <c r="J38" s="14" t="str">
        <f>IF(A38="","",COUNTIFS('Match Data'!$B$5:$B$2000,$A38,'Match Data'!$I$5:$I$2000,"Win"))</f>
        <v/>
      </c>
      <c r="K38" s="18" t="str">
        <f t="shared" si="1"/>
        <v/>
      </c>
      <c r="L38" s="14" t="str">
        <f>IFERROR(AVERAGEIFS('Match Data'!$J$5:$J$2000,'Match Data'!$B$5:$B$2000,$A38),"")</f>
        <v/>
      </c>
      <c r="M38" s="14" t="str">
        <f>IFERROR(AVERAGEIFS('Match Data'!$K$5:$K$2000,'Match Data'!$B$5:$B$2000,$A38),"")</f>
        <v/>
      </c>
      <c r="N38" s="14" t="str">
        <f>IFERROR(AVERAGEIFS('Match Data'!$L$5:$L$2000,'Match Data'!$B$5:$B$2000,$A38),"")</f>
        <v/>
      </c>
      <c r="O38" s="14" t="str">
        <f>IFERROR(AVERAGEIFS('Match Data'!$M$5:$M$2000,'Match Data'!$B$5:$B$2000,$A38),"")</f>
        <v/>
      </c>
      <c r="P38" s="37">
        <f>IFERROR(maxifs('Session Log'!$B$5:$B$2000,'Session Log'!$E$5:$E$2000,$A38),"")</f>
        <v>0</v>
      </c>
      <c r="Q38" s="37">
        <f>IFERROR(maxifs('Match Data'!$C$5:$C$2000,'Match Data'!$B$5:$B$2000,$A38),"")</f>
        <v>0</v>
      </c>
    </row>
    <row r="39" ht="15.75" customHeight="1">
      <c r="A39" s="35" t="str">
        <f>IF('Player Profile'!B39="","",'Player Profile'!B39)</f>
        <v/>
      </c>
      <c r="B39" s="36" t="str">
        <f>IF(A39="","",'Player Profile'!K39)</f>
        <v/>
      </c>
      <c r="C39" s="14" t="str">
        <f>IF(A39="","",COUNTIFS('Session Log'!$E$5:$E$2000,$A39))</f>
        <v/>
      </c>
      <c r="D39" s="14" t="str">
        <f>IF(A39="","",SUMIFS('Session Log'!$M$5:$M$2000,'Session Log'!$E$5:$E$2000,$A39))</f>
        <v/>
      </c>
      <c r="E39" s="14" t="str">
        <f>IF(A39="","",COUNTIFS('Skill Metrics'!$B$5:$B$2000,$A39))</f>
        <v/>
      </c>
      <c r="F39" s="18" t="str">
        <f>IFERROR(AVERAGEIFS('Skill Metrics'!$J$5:$J$2000,'Skill Metrics'!$B$5:$B$2000,$A39),"")</f>
        <v/>
      </c>
      <c r="G39" s="18" t="str">
        <f>IFERROR(AVERAGEIFS('Skill Metrics'!$M$5:$M$2000,'Skill Metrics'!$B$5:$B$2000,$A39),"")</f>
        <v/>
      </c>
      <c r="H39" s="14" t="str">
        <f>IFERROR(AVERAGEIFS('Skill Metrics'!$O$5:$O$2000,'Skill Metrics'!$B$5:$B$2000,$A39),"")</f>
        <v/>
      </c>
      <c r="I39" s="14" t="str">
        <f>IF(A39="","",COUNTIFS('Match Data'!$B$5:$B$2000,$A39))</f>
        <v/>
      </c>
      <c r="J39" s="14" t="str">
        <f>IF(A39="","",COUNTIFS('Match Data'!$B$5:$B$2000,$A39,'Match Data'!$I$5:$I$2000,"Win"))</f>
        <v/>
      </c>
      <c r="K39" s="18" t="str">
        <f t="shared" si="1"/>
        <v/>
      </c>
      <c r="L39" s="14" t="str">
        <f>IFERROR(AVERAGEIFS('Match Data'!$J$5:$J$2000,'Match Data'!$B$5:$B$2000,$A39),"")</f>
        <v/>
      </c>
      <c r="M39" s="14" t="str">
        <f>IFERROR(AVERAGEIFS('Match Data'!$K$5:$K$2000,'Match Data'!$B$5:$B$2000,$A39),"")</f>
        <v/>
      </c>
      <c r="N39" s="14" t="str">
        <f>IFERROR(AVERAGEIFS('Match Data'!$L$5:$L$2000,'Match Data'!$B$5:$B$2000,$A39),"")</f>
        <v/>
      </c>
      <c r="O39" s="14" t="str">
        <f>IFERROR(AVERAGEIFS('Match Data'!$M$5:$M$2000,'Match Data'!$B$5:$B$2000,$A39),"")</f>
        <v/>
      </c>
      <c r="P39" s="37">
        <f>IFERROR(maxifs('Session Log'!$B$5:$B$2000,'Session Log'!$E$5:$E$2000,$A39),"")</f>
        <v>0</v>
      </c>
      <c r="Q39" s="37">
        <f>IFERROR(maxifs('Match Data'!$C$5:$C$2000,'Match Data'!$B$5:$B$2000,$A39),"")</f>
        <v>0</v>
      </c>
    </row>
    <row r="40" ht="15.75" customHeight="1">
      <c r="A40" s="35" t="str">
        <f>IF('Player Profile'!B40="","",'Player Profile'!B40)</f>
        <v/>
      </c>
      <c r="B40" s="36" t="str">
        <f>IF(A40="","",'Player Profile'!K40)</f>
        <v/>
      </c>
      <c r="C40" s="14" t="str">
        <f>IF(A40="","",COUNTIFS('Session Log'!$E$5:$E$2000,$A40))</f>
        <v/>
      </c>
      <c r="D40" s="14" t="str">
        <f>IF(A40="","",SUMIFS('Session Log'!$M$5:$M$2000,'Session Log'!$E$5:$E$2000,$A40))</f>
        <v/>
      </c>
      <c r="E40" s="14" t="str">
        <f>IF(A40="","",COUNTIFS('Skill Metrics'!$B$5:$B$2000,$A40))</f>
        <v/>
      </c>
      <c r="F40" s="18" t="str">
        <f>IFERROR(AVERAGEIFS('Skill Metrics'!$J$5:$J$2000,'Skill Metrics'!$B$5:$B$2000,$A40),"")</f>
        <v/>
      </c>
      <c r="G40" s="18" t="str">
        <f>IFERROR(AVERAGEIFS('Skill Metrics'!$M$5:$M$2000,'Skill Metrics'!$B$5:$B$2000,$A40),"")</f>
        <v/>
      </c>
      <c r="H40" s="14" t="str">
        <f>IFERROR(AVERAGEIFS('Skill Metrics'!$O$5:$O$2000,'Skill Metrics'!$B$5:$B$2000,$A40),"")</f>
        <v/>
      </c>
      <c r="I40" s="14" t="str">
        <f>IF(A40="","",COUNTIFS('Match Data'!$B$5:$B$2000,$A40))</f>
        <v/>
      </c>
      <c r="J40" s="14" t="str">
        <f>IF(A40="","",COUNTIFS('Match Data'!$B$5:$B$2000,$A40,'Match Data'!$I$5:$I$2000,"Win"))</f>
        <v/>
      </c>
      <c r="K40" s="18" t="str">
        <f t="shared" si="1"/>
        <v/>
      </c>
      <c r="L40" s="14" t="str">
        <f>IFERROR(AVERAGEIFS('Match Data'!$J$5:$J$2000,'Match Data'!$B$5:$B$2000,$A40),"")</f>
        <v/>
      </c>
      <c r="M40" s="14" t="str">
        <f>IFERROR(AVERAGEIFS('Match Data'!$K$5:$K$2000,'Match Data'!$B$5:$B$2000,$A40),"")</f>
        <v/>
      </c>
      <c r="N40" s="14" t="str">
        <f>IFERROR(AVERAGEIFS('Match Data'!$L$5:$L$2000,'Match Data'!$B$5:$B$2000,$A40),"")</f>
        <v/>
      </c>
      <c r="O40" s="14" t="str">
        <f>IFERROR(AVERAGEIFS('Match Data'!$M$5:$M$2000,'Match Data'!$B$5:$B$2000,$A40),"")</f>
        <v/>
      </c>
      <c r="P40" s="37">
        <f>IFERROR(maxifs('Session Log'!$B$5:$B$2000,'Session Log'!$E$5:$E$2000,$A40),"")</f>
        <v>0</v>
      </c>
      <c r="Q40" s="37">
        <f>IFERROR(maxifs('Match Data'!$C$5:$C$2000,'Match Data'!$B$5:$B$2000,$A40),"")</f>
        <v>0</v>
      </c>
    </row>
    <row r="41" ht="15.75" customHeight="1">
      <c r="A41" s="35" t="str">
        <f>IF('Player Profile'!B41="","",'Player Profile'!B41)</f>
        <v/>
      </c>
      <c r="B41" s="36" t="str">
        <f>IF(A41="","",'Player Profile'!K41)</f>
        <v/>
      </c>
      <c r="C41" s="14" t="str">
        <f>IF(A41="","",COUNTIFS('Session Log'!$E$5:$E$2000,$A41))</f>
        <v/>
      </c>
      <c r="D41" s="14" t="str">
        <f>IF(A41="","",SUMIFS('Session Log'!$M$5:$M$2000,'Session Log'!$E$5:$E$2000,$A41))</f>
        <v/>
      </c>
      <c r="E41" s="14" t="str">
        <f>IF(A41="","",COUNTIFS('Skill Metrics'!$B$5:$B$2000,$A41))</f>
        <v/>
      </c>
      <c r="F41" s="18" t="str">
        <f>IFERROR(AVERAGEIFS('Skill Metrics'!$J$5:$J$2000,'Skill Metrics'!$B$5:$B$2000,$A41),"")</f>
        <v/>
      </c>
      <c r="G41" s="18" t="str">
        <f>IFERROR(AVERAGEIFS('Skill Metrics'!$M$5:$M$2000,'Skill Metrics'!$B$5:$B$2000,$A41),"")</f>
        <v/>
      </c>
      <c r="H41" s="14" t="str">
        <f>IFERROR(AVERAGEIFS('Skill Metrics'!$O$5:$O$2000,'Skill Metrics'!$B$5:$B$2000,$A41),"")</f>
        <v/>
      </c>
      <c r="I41" s="14" t="str">
        <f>IF(A41="","",COUNTIFS('Match Data'!$B$5:$B$2000,$A41))</f>
        <v/>
      </c>
      <c r="J41" s="14" t="str">
        <f>IF(A41="","",COUNTIFS('Match Data'!$B$5:$B$2000,$A41,'Match Data'!$I$5:$I$2000,"Win"))</f>
        <v/>
      </c>
      <c r="K41" s="18" t="str">
        <f t="shared" si="1"/>
        <v/>
      </c>
      <c r="L41" s="14" t="str">
        <f>IFERROR(AVERAGEIFS('Match Data'!$J$5:$J$2000,'Match Data'!$B$5:$B$2000,$A41),"")</f>
        <v/>
      </c>
      <c r="M41" s="14" t="str">
        <f>IFERROR(AVERAGEIFS('Match Data'!$K$5:$K$2000,'Match Data'!$B$5:$B$2000,$A41),"")</f>
        <v/>
      </c>
      <c r="N41" s="14" t="str">
        <f>IFERROR(AVERAGEIFS('Match Data'!$L$5:$L$2000,'Match Data'!$B$5:$B$2000,$A41),"")</f>
        <v/>
      </c>
      <c r="O41" s="14" t="str">
        <f>IFERROR(AVERAGEIFS('Match Data'!$M$5:$M$2000,'Match Data'!$B$5:$B$2000,$A41),"")</f>
        <v/>
      </c>
      <c r="P41" s="37">
        <f>IFERROR(maxifs('Session Log'!$B$5:$B$2000,'Session Log'!$E$5:$E$2000,$A41),"")</f>
        <v>0</v>
      </c>
      <c r="Q41" s="37">
        <f>IFERROR(maxifs('Match Data'!$C$5:$C$2000,'Match Data'!$B$5:$B$2000,$A41),"")</f>
        <v>0</v>
      </c>
    </row>
    <row r="42" ht="15.75" customHeight="1">
      <c r="A42" s="35" t="str">
        <f>IF('Player Profile'!B42="","",'Player Profile'!B42)</f>
        <v/>
      </c>
      <c r="B42" s="36" t="str">
        <f>IF(A42="","",'Player Profile'!K42)</f>
        <v/>
      </c>
      <c r="C42" s="14" t="str">
        <f>IF(A42="","",COUNTIFS('Session Log'!$E$5:$E$2000,$A42))</f>
        <v/>
      </c>
      <c r="D42" s="14" t="str">
        <f>IF(A42="","",SUMIFS('Session Log'!$M$5:$M$2000,'Session Log'!$E$5:$E$2000,$A42))</f>
        <v/>
      </c>
      <c r="E42" s="14" t="str">
        <f>IF(A42="","",COUNTIFS('Skill Metrics'!$B$5:$B$2000,$A42))</f>
        <v/>
      </c>
      <c r="F42" s="18" t="str">
        <f>IFERROR(AVERAGEIFS('Skill Metrics'!$J$5:$J$2000,'Skill Metrics'!$B$5:$B$2000,$A42),"")</f>
        <v/>
      </c>
      <c r="G42" s="18" t="str">
        <f>IFERROR(AVERAGEIFS('Skill Metrics'!$M$5:$M$2000,'Skill Metrics'!$B$5:$B$2000,$A42),"")</f>
        <v/>
      </c>
      <c r="H42" s="14" t="str">
        <f>IFERROR(AVERAGEIFS('Skill Metrics'!$O$5:$O$2000,'Skill Metrics'!$B$5:$B$2000,$A42),"")</f>
        <v/>
      </c>
      <c r="I42" s="14" t="str">
        <f>IF(A42="","",COUNTIFS('Match Data'!$B$5:$B$2000,$A42))</f>
        <v/>
      </c>
      <c r="J42" s="14" t="str">
        <f>IF(A42="","",COUNTIFS('Match Data'!$B$5:$B$2000,$A42,'Match Data'!$I$5:$I$2000,"Win"))</f>
        <v/>
      </c>
      <c r="K42" s="18" t="str">
        <f t="shared" si="1"/>
        <v/>
      </c>
      <c r="L42" s="14" t="str">
        <f>IFERROR(AVERAGEIFS('Match Data'!$J$5:$J$2000,'Match Data'!$B$5:$B$2000,$A42),"")</f>
        <v/>
      </c>
      <c r="M42" s="14" t="str">
        <f>IFERROR(AVERAGEIFS('Match Data'!$K$5:$K$2000,'Match Data'!$B$5:$B$2000,$A42),"")</f>
        <v/>
      </c>
      <c r="N42" s="14" t="str">
        <f>IFERROR(AVERAGEIFS('Match Data'!$L$5:$L$2000,'Match Data'!$B$5:$B$2000,$A42),"")</f>
        <v/>
      </c>
      <c r="O42" s="14" t="str">
        <f>IFERROR(AVERAGEIFS('Match Data'!$M$5:$M$2000,'Match Data'!$B$5:$B$2000,$A42),"")</f>
        <v/>
      </c>
      <c r="P42" s="37">
        <f>IFERROR(maxifs('Session Log'!$B$5:$B$2000,'Session Log'!$E$5:$E$2000,$A42),"")</f>
        <v>0</v>
      </c>
      <c r="Q42" s="37">
        <f>IFERROR(maxifs('Match Data'!$C$5:$C$2000,'Match Data'!$B$5:$B$2000,$A42),"")</f>
        <v>0</v>
      </c>
    </row>
    <row r="43" ht="15.75" customHeight="1">
      <c r="A43" s="35" t="str">
        <f>IF('Player Profile'!B43="","",'Player Profile'!B43)</f>
        <v/>
      </c>
      <c r="B43" s="36" t="str">
        <f>IF(A43="","",'Player Profile'!K43)</f>
        <v/>
      </c>
      <c r="C43" s="14" t="str">
        <f>IF(A43="","",COUNTIFS('Session Log'!$E$5:$E$2000,$A43))</f>
        <v/>
      </c>
      <c r="D43" s="14" t="str">
        <f>IF(A43="","",SUMIFS('Session Log'!$M$5:$M$2000,'Session Log'!$E$5:$E$2000,$A43))</f>
        <v/>
      </c>
      <c r="E43" s="14" t="str">
        <f>IF(A43="","",COUNTIFS('Skill Metrics'!$B$5:$B$2000,$A43))</f>
        <v/>
      </c>
      <c r="F43" s="18" t="str">
        <f>IFERROR(AVERAGEIFS('Skill Metrics'!$J$5:$J$2000,'Skill Metrics'!$B$5:$B$2000,$A43),"")</f>
        <v/>
      </c>
      <c r="G43" s="18" t="str">
        <f>IFERROR(AVERAGEIFS('Skill Metrics'!$M$5:$M$2000,'Skill Metrics'!$B$5:$B$2000,$A43),"")</f>
        <v/>
      </c>
      <c r="H43" s="14" t="str">
        <f>IFERROR(AVERAGEIFS('Skill Metrics'!$O$5:$O$2000,'Skill Metrics'!$B$5:$B$2000,$A43),"")</f>
        <v/>
      </c>
      <c r="I43" s="14" t="str">
        <f>IF(A43="","",COUNTIFS('Match Data'!$B$5:$B$2000,$A43))</f>
        <v/>
      </c>
      <c r="J43" s="14" t="str">
        <f>IF(A43="","",COUNTIFS('Match Data'!$B$5:$B$2000,$A43,'Match Data'!$I$5:$I$2000,"Win"))</f>
        <v/>
      </c>
      <c r="K43" s="18" t="str">
        <f t="shared" si="1"/>
        <v/>
      </c>
      <c r="L43" s="14" t="str">
        <f>IFERROR(AVERAGEIFS('Match Data'!$J$5:$J$2000,'Match Data'!$B$5:$B$2000,$A43),"")</f>
        <v/>
      </c>
      <c r="M43" s="14" t="str">
        <f>IFERROR(AVERAGEIFS('Match Data'!$K$5:$K$2000,'Match Data'!$B$5:$B$2000,$A43),"")</f>
        <v/>
      </c>
      <c r="N43" s="14" t="str">
        <f>IFERROR(AVERAGEIFS('Match Data'!$L$5:$L$2000,'Match Data'!$B$5:$B$2000,$A43),"")</f>
        <v/>
      </c>
      <c r="O43" s="14" t="str">
        <f>IFERROR(AVERAGEIFS('Match Data'!$M$5:$M$2000,'Match Data'!$B$5:$B$2000,$A43),"")</f>
        <v/>
      </c>
      <c r="P43" s="37">
        <f>IFERROR(maxifs('Session Log'!$B$5:$B$2000,'Session Log'!$E$5:$E$2000,$A43),"")</f>
        <v>0</v>
      </c>
      <c r="Q43" s="37">
        <f>IFERROR(maxifs('Match Data'!$C$5:$C$2000,'Match Data'!$B$5:$B$2000,$A43),"")</f>
        <v>0</v>
      </c>
    </row>
    <row r="44" ht="15.75" customHeight="1">
      <c r="A44" s="35" t="str">
        <f>IF('Player Profile'!B44="","",'Player Profile'!B44)</f>
        <v/>
      </c>
      <c r="B44" s="36" t="str">
        <f>IF(A44="","",'Player Profile'!K44)</f>
        <v/>
      </c>
      <c r="C44" s="14" t="str">
        <f>IF(A44="","",COUNTIFS('Session Log'!$E$5:$E$2000,$A44))</f>
        <v/>
      </c>
      <c r="D44" s="14" t="str">
        <f>IF(A44="","",SUMIFS('Session Log'!$M$5:$M$2000,'Session Log'!$E$5:$E$2000,$A44))</f>
        <v/>
      </c>
      <c r="E44" s="14" t="str">
        <f>IF(A44="","",COUNTIFS('Skill Metrics'!$B$5:$B$2000,$A44))</f>
        <v/>
      </c>
      <c r="F44" s="18" t="str">
        <f>IFERROR(AVERAGEIFS('Skill Metrics'!$J$5:$J$2000,'Skill Metrics'!$B$5:$B$2000,$A44),"")</f>
        <v/>
      </c>
      <c r="G44" s="18" t="str">
        <f>IFERROR(AVERAGEIFS('Skill Metrics'!$M$5:$M$2000,'Skill Metrics'!$B$5:$B$2000,$A44),"")</f>
        <v/>
      </c>
      <c r="H44" s="14" t="str">
        <f>IFERROR(AVERAGEIFS('Skill Metrics'!$O$5:$O$2000,'Skill Metrics'!$B$5:$B$2000,$A44),"")</f>
        <v/>
      </c>
      <c r="I44" s="14" t="str">
        <f>IF(A44="","",COUNTIFS('Match Data'!$B$5:$B$2000,$A44))</f>
        <v/>
      </c>
      <c r="J44" s="14" t="str">
        <f>IF(A44="","",COUNTIFS('Match Data'!$B$5:$B$2000,$A44,'Match Data'!$I$5:$I$2000,"Win"))</f>
        <v/>
      </c>
      <c r="K44" s="18" t="str">
        <f t="shared" si="1"/>
        <v/>
      </c>
      <c r="L44" s="14" t="str">
        <f>IFERROR(AVERAGEIFS('Match Data'!$J$5:$J$2000,'Match Data'!$B$5:$B$2000,$A44),"")</f>
        <v/>
      </c>
      <c r="M44" s="14" t="str">
        <f>IFERROR(AVERAGEIFS('Match Data'!$K$5:$K$2000,'Match Data'!$B$5:$B$2000,$A44),"")</f>
        <v/>
      </c>
      <c r="N44" s="14" t="str">
        <f>IFERROR(AVERAGEIFS('Match Data'!$L$5:$L$2000,'Match Data'!$B$5:$B$2000,$A44),"")</f>
        <v/>
      </c>
      <c r="O44" s="14" t="str">
        <f>IFERROR(AVERAGEIFS('Match Data'!$M$5:$M$2000,'Match Data'!$B$5:$B$2000,$A44),"")</f>
        <v/>
      </c>
      <c r="P44" s="37">
        <f>IFERROR(maxifs('Session Log'!$B$5:$B$2000,'Session Log'!$E$5:$E$2000,$A44),"")</f>
        <v>0</v>
      </c>
      <c r="Q44" s="37">
        <f>IFERROR(maxifs('Match Data'!$C$5:$C$2000,'Match Data'!$B$5:$B$2000,$A44),"")</f>
        <v>0</v>
      </c>
    </row>
    <row r="45" ht="15.75" customHeight="1">
      <c r="A45" s="35" t="str">
        <f>IF('Player Profile'!B45="","",'Player Profile'!B45)</f>
        <v/>
      </c>
      <c r="B45" s="36" t="str">
        <f>IF(A45="","",'Player Profile'!K45)</f>
        <v/>
      </c>
      <c r="C45" s="14" t="str">
        <f>IF(A45="","",COUNTIFS('Session Log'!$E$5:$E$2000,$A45))</f>
        <v/>
      </c>
      <c r="D45" s="14" t="str">
        <f>IF(A45="","",SUMIFS('Session Log'!$M$5:$M$2000,'Session Log'!$E$5:$E$2000,$A45))</f>
        <v/>
      </c>
      <c r="E45" s="14" t="str">
        <f>IF(A45="","",COUNTIFS('Skill Metrics'!$B$5:$B$2000,$A45))</f>
        <v/>
      </c>
      <c r="F45" s="18" t="str">
        <f>IFERROR(AVERAGEIFS('Skill Metrics'!$J$5:$J$2000,'Skill Metrics'!$B$5:$B$2000,$A45),"")</f>
        <v/>
      </c>
      <c r="G45" s="18" t="str">
        <f>IFERROR(AVERAGEIFS('Skill Metrics'!$M$5:$M$2000,'Skill Metrics'!$B$5:$B$2000,$A45),"")</f>
        <v/>
      </c>
      <c r="H45" s="14" t="str">
        <f>IFERROR(AVERAGEIFS('Skill Metrics'!$O$5:$O$2000,'Skill Metrics'!$B$5:$B$2000,$A45),"")</f>
        <v/>
      </c>
      <c r="I45" s="14" t="str">
        <f>IF(A45="","",COUNTIFS('Match Data'!$B$5:$B$2000,$A45))</f>
        <v/>
      </c>
      <c r="J45" s="14" t="str">
        <f>IF(A45="","",COUNTIFS('Match Data'!$B$5:$B$2000,$A45,'Match Data'!$I$5:$I$2000,"Win"))</f>
        <v/>
      </c>
      <c r="K45" s="18" t="str">
        <f t="shared" si="1"/>
        <v/>
      </c>
      <c r="L45" s="14" t="str">
        <f>IFERROR(AVERAGEIFS('Match Data'!$J$5:$J$2000,'Match Data'!$B$5:$B$2000,$A45),"")</f>
        <v/>
      </c>
      <c r="M45" s="14" t="str">
        <f>IFERROR(AVERAGEIFS('Match Data'!$K$5:$K$2000,'Match Data'!$B$5:$B$2000,$A45),"")</f>
        <v/>
      </c>
      <c r="N45" s="14" t="str">
        <f>IFERROR(AVERAGEIFS('Match Data'!$L$5:$L$2000,'Match Data'!$B$5:$B$2000,$A45),"")</f>
        <v/>
      </c>
      <c r="O45" s="14" t="str">
        <f>IFERROR(AVERAGEIFS('Match Data'!$M$5:$M$2000,'Match Data'!$B$5:$B$2000,$A45),"")</f>
        <v/>
      </c>
      <c r="P45" s="37">
        <f>IFERROR(maxifs('Session Log'!$B$5:$B$2000,'Session Log'!$E$5:$E$2000,$A45),"")</f>
        <v>0</v>
      </c>
      <c r="Q45" s="37">
        <f>IFERROR(maxifs('Match Data'!$C$5:$C$2000,'Match Data'!$B$5:$B$2000,$A45),"")</f>
        <v>0</v>
      </c>
    </row>
    <row r="46" ht="15.75" customHeight="1">
      <c r="A46" s="35" t="str">
        <f>IF('Player Profile'!B46="","",'Player Profile'!B46)</f>
        <v/>
      </c>
      <c r="B46" s="36" t="str">
        <f>IF(A46="","",'Player Profile'!K46)</f>
        <v/>
      </c>
      <c r="C46" s="14" t="str">
        <f>IF(A46="","",COUNTIFS('Session Log'!$E$5:$E$2000,$A46))</f>
        <v/>
      </c>
      <c r="D46" s="14" t="str">
        <f>IF(A46="","",SUMIFS('Session Log'!$M$5:$M$2000,'Session Log'!$E$5:$E$2000,$A46))</f>
        <v/>
      </c>
      <c r="E46" s="14" t="str">
        <f>IF(A46="","",COUNTIFS('Skill Metrics'!$B$5:$B$2000,$A46))</f>
        <v/>
      </c>
      <c r="F46" s="18" t="str">
        <f>IFERROR(AVERAGEIFS('Skill Metrics'!$J$5:$J$2000,'Skill Metrics'!$B$5:$B$2000,$A46),"")</f>
        <v/>
      </c>
      <c r="G46" s="18" t="str">
        <f>IFERROR(AVERAGEIFS('Skill Metrics'!$M$5:$M$2000,'Skill Metrics'!$B$5:$B$2000,$A46),"")</f>
        <v/>
      </c>
      <c r="H46" s="14" t="str">
        <f>IFERROR(AVERAGEIFS('Skill Metrics'!$O$5:$O$2000,'Skill Metrics'!$B$5:$B$2000,$A46),"")</f>
        <v/>
      </c>
      <c r="I46" s="14" t="str">
        <f>IF(A46="","",COUNTIFS('Match Data'!$B$5:$B$2000,$A46))</f>
        <v/>
      </c>
      <c r="J46" s="14" t="str">
        <f>IF(A46="","",COUNTIFS('Match Data'!$B$5:$B$2000,$A46,'Match Data'!$I$5:$I$2000,"Win"))</f>
        <v/>
      </c>
      <c r="K46" s="18" t="str">
        <f t="shared" si="1"/>
        <v/>
      </c>
      <c r="L46" s="14" t="str">
        <f>IFERROR(AVERAGEIFS('Match Data'!$J$5:$J$2000,'Match Data'!$B$5:$B$2000,$A46),"")</f>
        <v/>
      </c>
      <c r="M46" s="14" t="str">
        <f>IFERROR(AVERAGEIFS('Match Data'!$K$5:$K$2000,'Match Data'!$B$5:$B$2000,$A46),"")</f>
        <v/>
      </c>
      <c r="N46" s="14" t="str">
        <f>IFERROR(AVERAGEIFS('Match Data'!$L$5:$L$2000,'Match Data'!$B$5:$B$2000,$A46),"")</f>
        <v/>
      </c>
      <c r="O46" s="14" t="str">
        <f>IFERROR(AVERAGEIFS('Match Data'!$M$5:$M$2000,'Match Data'!$B$5:$B$2000,$A46),"")</f>
        <v/>
      </c>
      <c r="P46" s="37">
        <f>IFERROR(maxifs('Session Log'!$B$5:$B$2000,'Session Log'!$E$5:$E$2000,$A46),"")</f>
        <v>0</v>
      </c>
      <c r="Q46" s="37">
        <f>IFERROR(maxifs('Match Data'!$C$5:$C$2000,'Match Data'!$B$5:$B$2000,$A46),"")</f>
        <v>0</v>
      </c>
    </row>
    <row r="47" ht="15.75" customHeight="1">
      <c r="A47" s="35" t="str">
        <f>IF('Player Profile'!B47="","",'Player Profile'!B47)</f>
        <v/>
      </c>
      <c r="B47" s="36" t="str">
        <f>IF(A47="","",'Player Profile'!K47)</f>
        <v/>
      </c>
      <c r="C47" s="14" t="str">
        <f>IF(A47="","",COUNTIFS('Session Log'!$E$5:$E$2000,$A47))</f>
        <v/>
      </c>
      <c r="D47" s="14" t="str">
        <f>IF(A47="","",SUMIFS('Session Log'!$M$5:$M$2000,'Session Log'!$E$5:$E$2000,$A47))</f>
        <v/>
      </c>
      <c r="E47" s="14" t="str">
        <f>IF(A47="","",COUNTIFS('Skill Metrics'!$B$5:$B$2000,$A47))</f>
        <v/>
      </c>
      <c r="F47" s="18" t="str">
        <f>IFERROR(AVERAGEIFS('Skill Metrics'!$J$5:$J$2000,'Skill Metrics'!$B$5:$B$2000,$A47),"")</f>
        <v/>
      </c>
      <c r="G47" s="18" t="str">
        <f>IFERROR(AVERAGEIFS('Skill Metrics'!$M$5:$M$2000,'Skill Metrics'!$B$5:$B$2000,$A47),"")</f>
        <v/>
      </c>
      <c r="H47" s="14" t="str">
        <f>IFERROR(AVERAGEIFS('Skill Metrics'!$O$5:$O$2000,'Skill Metrics'!$B$5:$B$2000,$A47),"")</f>
        <v/>
      </c>
      <c r="I47" s="14" t="str">
        <f>IF(A47="","",COUNTIFS('Match Data'!$B$5:$B$2000,$A47))</f>
        <v/>
      </c>
      <c r="J47" s="14" t="str">
        <f>IF(A47="","",COUNTIFS('Match Data'!$B$5:$B$2000,$A47,'Match Data'!$I$5:$I$2000,"Win"))</f>
        <v/>
      </c>
      <c r="K47" s="18" t="str">
        <f t="shared" si="1"/>
        <v/>
      </c>
      <c r="L47" s="14" t="str">
        <f>IFERROR(AVERAGEIFS('Match Data'!$J$5:$J$2000,'Match Data'!$B$5:$B$2000,$A47),"")</f>
        <v/>
      </c>
      <c r="M47" s="14" t="str">
        <f>IFERROR(AVERAGEIFS('Match Data'!$K$5:$K$2000,'Match Data'!$B$5:$B$2000,$A47),"")</f>
        <v/>
      </c>
      <c r="N47" s="14" t="str">
        <f>IFERROR(AVERAGEIFS('Match Data'!$L$5:$L$2000,'Match Data'!$B$5:$B$2000,$A47),"")</f>
        <v/>
      </c>
      <c r="O47" s="14" t="str">
        <f>IFERROR(AVERAGEIFS('Match Data'!$M$5:$M$2000,'Match Data'!$B$5:$B$2000,$A47),"")</f>
        <v/>
      </c>
      <c r="P47" s="37">
        <f>IFERROR(maxifs('Session Log'!$B$5:$B$2000,'Session Log'!$E$5:$E$2000,$A47),"")</f>
        <v>0</v>
      </c>
      <c r="Q47" s="37">
        <f>IFERROR(maxifs('Match Data'!$C$5:$C$2000,'Match Data'!$B$5:$B$2000,$A47),"")</f>
        <v>0</v>
      </c>
    </row>
    <row r="48" ht="15.75" customHeight="1">
      <c r="A48" s="35" t="str">
        <f>IF('Player Profile'!B48="","",'Player Profile'!B48)</f>
        <v/>
      </c>
      <c r="B48" s="36" t="str">
        <f>IF(A48="","",'Player Profile'!K48)</f>
        <v/>
      </c>
      <c r="C48" s="14" t="str">
        <f>IF(A48="","",COUNTIFS('Session Log'!$E$5:$E$2000,$A48))</f>
        <v/>
      </c>
      <c r="D48" s="14" t="str">
        <f>IF(A48="","",SUMIFS('Session Log'!$M$5:$M$2000,'Session Log'!$E$5:$E$2000,$A48))</f>
        <v/>
      </c>
      <c r="E48" s="14" t="str">
        <f>IF(A48="","",COUNTIFS('Skill Metrics'!$B$5:$B$2000,$A48))</f>
        <v/>
      </c>
      <c r="F48" s="18" t="str">
        <f>IFERROR(AVERAGEIFS('Skill Metrics'!$J$5:$J$2000,'Skill Metrics'!$B$5:$B$2000,$A48),"")</f>
        <v/>
      </c>
      <c r="G48" s="18" t="str">
        <f>IFERROR(AVERAGEIFS('Skill Metrics'!$M$5:$M$2000,'Skill Metrics'!$B$5:$B$2000,$A48),"")</f>
        <v/>
      </c>
      <c r="H48" s="14" t="str">
        <f>IFERROR(AVERAGEIFS('Skill Metrics'!$O$5:$O$2000,'Skill Metrics'!$B$5:$B$2000,$A48),"")</f>
        <v/>
      </c>
      <c r="I48" s="14" t="str">
        <f>IF(A48="","",COUNTIFS('Match Data'!$B$5:$B$2000,$A48))</f>
        <v/>
      </c>
      <c r="J48" s="14" t="str">
        <f>IF(A48="","",COUNTIFS('Match Data'!$B$5:$B$2000,$A48,'Match Data'!$I$5:$I$2000,"Win"))</f>
        <v/>
      </c>
      <c r="K48" s="18" t="str">
        <f t="shared" si="1"/>
        <v/>
      </c>
      <c r="L48" s="14" t="str">
        <f>IFERROR(AVERAGEIFS('Match Data'!$J$5:$J$2000,'Match Data'!$B$5:$B$2000,$A48),"")</f>
        <v/>
      </c>
      <c r="M48" s="14" t="str">
        <f>IFERROR(AVERAGEIFS('Match Data'!$K$5:$K$2000,'Match Data'!$B$5:$B$2000,$A48),"")</f>
        <v/>
      </c>
      <c r="N48" s="14" t="str">
        <f>IFERROR(AVERAGEIFS('Match Data'!$L$5:$L$2000,'Match Data'!$B$5:$B$2000,$A48),"")</f>
        <v/>
      </c>
      <c r="O48" s="14" t="str">
        <f>IFERROR(AVERAGEIFS('Match Data'!$M$5:$M$2000,'Match Data'!$B$5:$B$2000,$A48),"")</f>
        <v/>
      </c>
      <c r="P48" s="37">
        <f>IFERROR(maxifs('Session Log'!$B$5:$B$2000,'Session Log'!$E$5:$E$2000,$A48),"")</f>
        <v>0</v>
      </c>
      <c r="Q48" s="37">
        <f>IFERROR(maxifs('Match Data'!$C$5:$C$2000,'Match Data'!$B$5:$B$2000,$A48),"")</f>
        <v>0</v>
      </c>
    </row>
    <row r="49" ht="15.75" customHeight="1">
      <c r="A49" s="35" t="str">
        <f>IF('Player Profile'!B49="","",'Player Profile'!B49)</f>
        <v/>
      </c>
      <c r="B49" s="36" t="str">
        <f>IF(A49="","",'Player Profile'!K49)</f>
        <v/>
      </c>
      <c r="C49" s="14" t="str">
        <f>IF(A49="","",COUNTIFS('Session Log'!$E$5:$E$2000,$A49))</f>
        <v/>
      </c>
      <c r="D49" s="14" t="str">
        <f>IF(A49="","",SUMIFS('Session Log'!$M$5:$M$2000,'Session Log'!$E$5:$E$2000,$A49))</f>
        <v/>
      </c>
      <c r="E49" s="14" t="str">
        <f>IF(A49="","",COUNTIFS('Skill Metrics'!$B$5:$B$2000,$A49))</f>
        <v/>
      </c>
      <c r="F49" s="18" t="str">
        <f>IFERROR(AVERAGEIFS('Skill Metrics'!$J$5:$J$2000,'Skill Metrics'!$B$5:$B$2000,$A49),"")</f>
        <v/>
      </c>
      <c r="G49" s="18" t="str">
        <f>IFERROR(AVERAGEIFS('Skill Metrics'!$M$5:$M$2000,'Skill Metrics'!$B$5:$B$2000,$A49),"")</f>
        <v/>
      </c>
      <c r="H49" s="14" t="str">
        <f>IFERROR(AVERAGEIFS('Skill Metrics'!$O$5:$O$2000,'Skill Metrics'!$B$5:$B$2000,$A49),"")</f>
        <v/>
      </c>
      <c r="I49" s="14" t="str">
        <f>IF(A49="","",COUNTIFS('Match Data'!$B$5:$B$2000,$A49))</f>
        <v/>
      </c>
      <c r="J49" s="14" t="str">
        <f>IF(A49="","",COUNTIFS('Match Data'!$B$5:$B$2000,$A49,'Match Data'!$I$5:$I$2000,"Win"))</f>
        <v/>
      </c>
      <c r="K49" s="18" t="str">
        <f t="shared" si="1"/>
        <v/>
      </c>
      <c r="L49" s="14" t="str">
        <f>IFERROR(AVERAGEIFS('Match Data'!$J$5:$J$2000,'Match Data'!$B$5:$B$2000,$A49),"")</f>
        <v/>
      </c>
      <c r="M49" s="14" t="str">
        <f>IFERROR(AVERAGEIFS('Match Data'!$K$5:$K$2000,'Match Data'!$B$5:$B$2000,$A49),"")</f>
        <v/>
      </c>
      <c r="N49" s="14" t="str">
        <f>IFERROR(AVERAGEIFS('Match Data'!$L$5:$L$2000,'Match Data'!$B$5:$B$2000,$A49),"")</f>
        <v/>
      </c>
      <c r="O49" s="14" t="str">
        <f>IFERROR(AVERAGEIFS('Match Data'!$M$5:$M$2000,'Match Data'!$B$5:$B$2000,$A49),"")</f>
        <v/>
      </c>
      <c r="P49" s="37">
        <f>IFERROR(maxifs('Session Log'!$B$5:$B$2000,'Session Log'!$E$5:$E$2000,$A49),"")</f>
        <v>0</v>
      </c>
      <c r="Q49" s="37">
        <f>IFERROR(maxifs('Match Data'!$C$5:$C$2000,'Match Data'!$B$5:$B$2000,$A49),"")</f>
        <v>0</v>
      </c>
    </row>
    <row r="50" ht="15.75" customHeight="1">
      <c r="A50" s="35" t="str">
        <f>IF('Player Profile'!B50="","",'Player Profile'!B50)</f>
        <v/>
      </c>
      <c r="B50" s="36" t="str">
        <f>IF(A50="","",'Player Profile'!K50)</f>
        <v/>
      </c>
      <c r="C50" s="14" t="str">
        <f>IF(A50="","",COUNTIFS('Session Log'!$E$5:$E$2000,$A50))</f>
        <v/>
      </c>
      <c r="D50" s="14" t="str">
        <f>IF(A50="","",SUMIFS('Session Log'!$M$5:$M$2000,'Session Log'!$E$5:$E$2000,$A50))</f>
        <v/>
      </c>
      <c r="E50" s="14" t="str">
        <f>IF(A50="","",COUNTIFS('Skill Metrics'!$B$5:$B$2000,$A50))</f>
        <v/>
      </c>
      <c r="F50" s="18" t="str">
        <f>IFERROR(AVERAGEIFS('Skill Metrics'!$J$5:$J$2000,'Skill Metrics'!$B$5:$B$2000,$A50),"")</f>
        <v/>
      </c>
      <c r="G50" s="18" t="str">
        <f>IFERROR(AVERAGEIFS('Skill Metrics'!$M$5:$M$2000,'Skill Metrics'!$B$5:$B$2000,$A50),"")</f>
        <v/>
      </c>
      <c r="H50" s="14" t="str">
        <f>IFERROR(AVERAGEIFS('Skill Metrics'!$O$5:$O$2000,'Skill Metrics'!$B$5:$B$2000,$A50),"")</f>
        <v/>
      </c>
      <c r="I50" s="14" t="str">
        <f>IF(A50="","",COUNTIFS('Match Data'!$B$5:$B$2000,$A50))</f>
        <v/>
      </c>
      <c r="J50" s="14" t="str">
        <f>IF(A50="","",COUNTIFS('Match Data'!$B$5:$B$2000,$A50,'Match Data'!$I$5:$I$2000,"Win"))</f>
        <v/>
      </c>
      <c r="K50" s="18" t="str">
        <f t="shared" si="1"/>
        <v/>
      </c>
      <c r="L50" s="14" t="str">
        <f>IFERROR(AVERAGEIFS('Match Data'!$J$5:$J$2000,'Match Data'!$B$5:$B$2000,$A50),"")</f>
        <v/>
      </c>
      <c r="M50" s="14" t="str">
        <f>IFERROR(AVERAGEIFS('Match Data'!$K$5:$K$2000,'Match Data'!$B$5:$B$2000,$A50),"")</f>
        <v/>
      </c>
      <c r="N50" s="14" t="str">
        <f>IFERROR(AVERAGEIFS('Match Data'!$L$5:$L$2000,'Match Data'!$B$5:$B$2000,$A50),"")</f>
        <v/>
      </c>
      <c r="O50" s="14" t="str">
        <f>IFERROR(AVERAGEIFS('Match Data'!$M$5:$M$2000,'Match Data'!$B$5:$B$2000,$A50),"")</f>
        <v/>
      </c>
      <c r="P50" s="37">
        <f>IFERROR(maxifs('Session Log'!$B$5:$B$2000,'Session Log'!$E$5:$E$2000,$A50),"")</f>
        <v>0</v>
      </c>
      <c r="Q50" s="37">
        <f>IFERROR(maxifs('Match Data'!$C$5:$C$2000,'Match Data'!$B$5:$B$2000,$A50),"")</f>
        <v>0</v>
      </c>
    </row>
    <row r="51" ht="15.75" customHeight="1">
      <c r="A51" s="35" t="str">
        <f>IF('Player Profile'!B51="","",'Player Profile'!B51)</f>
        <v/>
      </c>
      <c r="B51" s="36" t="str">
        <f>IF(A51="","",'Player Profile'!K51)</f>
        <v/>
      </c>
      <c r="C51" s="14" t="str">
        <f>IF(A51="","",COUNTIFS('Session Log'!$E$5:$E$2000,$A51))</f>
        <v/>
      </c>
      <c r="D51" s="14" t="str">
        <f>IF(A51="","",SUMIFS('Session Log'!$M$5:$M$2000,'Session Log'!$E$5:$E$2000,$A51))</f>
        <v/>
      </c>
      <c r="E51" s="14" t="str">
        <f>IF(A51="","",COUNTIFS('Skill Metrics'!$B$5:$B$2000,$A51))</f>
        <v/>
      </c>
      <c r="F51" s="18" t="str">
        <f>IFERROR(AVERAGEIFS('Skill Metrics'!$J$5:$J$2000,'Skill Metrics'!$B$5:$B$2000,$A51),"")</f>
        <v/>
      </c>
      <c r="G51" s="18" t="str">
        <f>IFERROR(AVERAGEIFS('Skill Metrics'!$M$5:$M$2000,'Skill Metrics'!$B$5:$B$2000,$A51),"")</f>
        <v/>
      </c>
      <c r="H51" s="14" t="str">
        <f>IFERROR(AVERAGEIFS('Skill Metrics'!$O$5:$O$2000,'Skill Metrics'!$B$5:$B$2000,$A51),"")</f>
        <v/>
      </c>
      <c r="I51" s="14" t="str">
        <f>IF(A51="","",COUNTIFS('Match Data'!$B$5:$B$2000,$A51))</f>
        <v/>
      </c>
      <c r="J51" s="14" t="str">
        <f>IF(A51="","",COUNTIFS('Match Data'!$B$5:$B$2000,$A51,'Match Data'!$I$5:$I$2000,"Win"))</f>
        <v/>
      </c>
      <c r="K51" s="18" t="str">
        <f t="shared" si="1"/>
        <v/>
      </c>
      <c r="L51" s="14" t="str">
        <f>IFERROR(AVERAGEIFS('Match Data'!$J$5:$J$2000,'Match Data'!$B$5:$B$2000,$A51),"")</f>
        <v/>
      </c>
      <c r="M51" s="14" t="str">
        <f>IFERROR(AVERAGEIFS('Match Data'!$K$5:$K$2000,'Match Data'!$B$5:$B$2000,$A51),"")</f>
        <v/>
      </c>
      <c r="N51" s="14" t="str">
        <f>IFERROR(AVERAGEIFS('Match Data'!$L$5:$L$2000,'Match Data'!$B$5:$B$2000,$A51),"")</f>
        <v/>
      </c>
      <c r="O51" s="14" t="str">
        <f>IFERROR(AVERAGEIFS('Match Data'!$M$5:$M$2000,'Match Data'!$B$5:$B$2000,$A51),"")</f>
        <v/>
      </c>
      <c r="P51" s="37">
        <f>IFERROR(maxifs('Session Log'!$B$5:$B$2000,'Session Log'!$E$5:$E$2000,$A51),"")</f>
        <v>0</v>
      </c>
      <c r="Q51" s="37">
        <f>IFERROR(maxifs('Match Data'!$C$5:$C$2000,'Match Data'!$B$5:$B$2000,$A51),"")</f>
        <v>0</v>
      </c>
    </row>
    <row r="52" ht="15.75" customHeight="1">
      <c r="A52" s="35" t="str">
        <f>IF('Player Profile'!B52="","",'Player Profile'!B52)</f>
        <v/>
      </c>
      <c r="B52" s="36" t="str">
        <f>IF(A52="","",'Player Profile'!K52)</f>
        <v/>
      </c>
      <c r="C52" s="14" t="str">
        <f>IF(A52="","",COUNTIFS('Session Log'!$E$5:$E$2000,$A52))</f>
        <v/>
      </c>
      <c r="D52" s="14" t="str">
        <f>IF(A52="","",SUMIFS('Session Log'!$M$5:$M$2000,'Session Log'!$E$5:$E$2000,$A52))</f>
        <v/>
      </c>
      <c r="E52" s="14" t="str">
        <f>IF(A52="","",COUNTIFS('Skill Metrics'!$B$5:$B$2000,$A52))</f>
        <v/>
      </c>
      <c r="F52" s="18" t="str">
        <f>IFERROR(AVERAGEIFS('Skill Metrics'!$J$5:$J$2000,'Skill Metrics'!$B$5:$B$2000,$A52),"")</f>
        <v/>
      </c>
      <c r="G52" s="18" t="str">
        <f>IFERROR(AVERAGEIFS('Skill Metrics'!$M$5:$M$2000,'Skill Metrics'!$B$5:$B$2000,$A52),"")</f>
        <v/>
      </c>
      <c r="H52" s="14" t="str">
        <f>IFERROR(AVERAGEIFS('Skill Metrics'!$O$5:$O$2000,'Skill Metrics'!$B$5:$B$2000,$A52),"")</f>
        <v/>
      </c>
      <c r="I52" s="14" t="str">
        <f>IF(A52="","",COUNTIFS('Match Data'!$B$5:$B$2000,$A52))</f>
        <v/>
      </c>
      <c r="J52" s="14" t="str">
        <f>IF(A52="","",COUNTIFS('Match Data'!$B$5:$B$2000,$A52,'Match Data'!$I$5:$I$2000,"Win"))</f>
        <v/>
      </c>
      <c r="K52" s="18" t="str">
        <f t="shared" si="1"/>
        <v/>
      </c>
      <c r="L52" s="14" t="str">
        <f>IFERROR(AVERAGEIFS('Match Data'!$J$5:$J$2000,'Match Data'!$B$5:$B$2000,$A52),"")</f>
        <v/>
      </c>
      <c r="M52" s="14" t="str">
        <f>IFERROR(AVERAGEIFS('Match Data'!$K$5:$K$2000,'Match Data'!$B$5:$B$2000,$A52),"")</f>
        <v/>
      </c>
      <c r="N52" s="14" t="str">
        <f>IFERROR(AVERAGEIFS('Match Data'!$L$5:$L$2000,'Match Data'!$B$5:$B$2000,$A52),"")</f>
        <v/>
      </c>
      <c r="O52" s="14" t="str">
        <f>IFERROR(AVERAGEIFS('Match Data'!$M$5:$M$2000,'Match Data'!$B$5:$B$2000,$A52),"")</f>
        <v/>
      </c>
      <c r="P52" s="37">
        <f>IFERROR(maxifs('Session Log'!$B$5:$B$2000,'Session Log'!$E$5:$E$2000,$A52),"")</f>
        <v>0</v>
      </c>
      <c r="Q52" s="37">
        <f>IFERROR(maxifs('Match Data'!$C$5:$C$2000,'Match Data'!$B$5:$B$2000,$A52),"")</f>
        <v>0</v>
      </c>
    </row>
    <row r="53" ht="15.75" customHeight="1">
      <c r="A53" s="35" t="str">
        <f>IF('Player Profile'!B53="","",'Player Profile'!B53)</f>
        <v/>
      </c>
      <c r="B53" s="36" t="str">
        <f>IF(A53="","",'Player Profile'!K53)</f>
        <v/>
      </c>
      <c r="C53" s="14" t="str">
        <f>IF(A53="","",COUNTIFS('Session Log'!$E$5:$E$2000,$A53))</f>
        <v/>
      </c>
      <c r="D53" s="14" t="str">
        <f>IF(A53="","",SUMIFS('Session Log'!$M$5:$M$2000,'Session Log'!$E$5:$E$2000,$A53))</f>
        <v/>
      </c>
      <c r="E53" s="14" t="str">
        <f>IF(A53="","",COUNTIFS('Skill Metrics'!$B$5:$B$2000,$A53))</f>
        <v/>
      </c>
      <c r="F53" s="18" t="str">
        <f>IFERROR(AVERAGEIFS('Skill Metrics'!$J$5:$J$2000,'Skill Metrics'!$B$5:$B$2000,$A53),"")</f>
        <v/>
      </c>
      <c r="G53" s="18" t="str">
        <f>IFERROR(AVERAGEIFS('Skill Metrics'!$M$5:$M$2000,'Skill Metrics'!$B$5:$B$2000,$A53),"")</f>
        <v/>
      </c>
      <c r="H53" s="14" t="str">
        <f>IFERROR(AVERAGEIFS('Skill Metrics'!$O$5:$O$2000,'Skill Metrics'!$B$5:$B$2000,$A53),"")</f>
        <v/>
      </c>
      <c r="I53" s="14" t="str">
        <f>IF(A53="","",COUNTIFS('Match Data'!$B$5:$B$2000,$A53))</f>
        <v/>
      </c>
      <c r="J53" s="14" t="str">
        <f>IF(A53="","",COUNTIFS('Match Data'!$B$5:$B$2000,$A53,'Match Data'!$I$5:$I$2000,"Win"))</f>
        <v/>
      </c>
      <c r="K53" s="18" t="str">
        <f t="shared" si="1"/>
        <v/>
      </c>
      <c r="L53" s="14" t="str">
        <f>IFERROR(AVERAGEIFS('Match Data'!$J$5:$J$2000,'Match Data'!$B$5:$B$2000,$A53),"")</f>
        <v/>
      </c>
      <c r="M53" s="14" t="str">
        <f>IFERROR(AVERAGEIFS('Match Data'!$K$5:$K$2000,'Match Data'!$B$5:$B$2000,$A53),"")</f>
        <v/>
      </c>
      <c r="N53" s="14" t="str">
        <f>IFERROR(AVERAGEIFS('Match Data'!$L$5:$L$2000,'Match Data'!$B$5:$B$2000,$A53),"")</f>
        <v/>
      </c>
      <c r="O53" s="14" t="str">
        <f>IFERROR(AVERAGEIFS('Match Data'!$M$5:$M$2000,'Match Data'!$B$5:$B$2000,$A53),"")</f>
        <v/>
      </c>
      <c r="P53" s="37">
        <f>IFERROR(maxifs('Session Log'!$B$5:$B$2000,'Session Log'!$E$5:$E$2000,$A53),"")</f>
        <v>0</v>
      </c>
      <c r="Q53" s="37">
        <f>IFERROR(maxifs('Match Data'!$C$5:$C$2000,'Match Data'!$B$5:$B$2000,$A53),"")</f>
        <v>0</v>
      </c>
    </row>
    <row r="54" ht="15.75" customHeight="1">
      <c r="A54" s="35" t="str">
        <f>IF('Player Profile'!B54="","",'Player Profile'!B54)</f>
        <v/>
      </c>
      <c r="B54" s="36" t="str">
        <f>IF(A54="","",'Player Profile'!K54)</f>
        <v/>
      </c>
      <c r="C54" s="14" t="str">
        <f>IF(A54="","",COUNTIFS('Session Log'!$E$5:$E$2000,$A54))</f>
        <v/>
      </c>
      <c r="D54" s="14" t="str">
        <f>IF(A54="","",SUMIFS('Session Log'!$M$5:$M$2000,'Session Log'!$E$5:$E$2000,$A54))</f>
        <v/>
      </c>
      <c r="E54" s="14" t="str">
        <f>IF(A54="","",COUNTIFS('Skill Metrics'!$B$5:$B$2000,$A54))</f>
        <v/>
      </c>
      <c r="F54" s="18" t="str">
        <f>IFERROR(AVERAGEIFS('Skill Metrics'!$J$5:$J$2000,'Skill Metrics'!$B$5:$B$2000,$A54),"")</f>
        <v/>
      </c>
      <c r="G54" s="18" t="str">
        <f>IFERROR(AVERAGEIFS('Skill Metrics'!$M$5:$M$2000,'Skill Metrics'!$B$5:$B$2000,$A54),"")</f>
        <v/>
      </c>
      <c r="H54" s="14" t="str">
        <f>IFERROR(AVERAGEIFS('Skill Metrics'!$O$5:$O$2000,'Skill Metrics'!$B$5:$B$2000,$A54),"")</f>
        <v/>
      </c>
      <c r="I54" s="14" t="str">
        <f>IF(A54="","",COUNTIFS('Match Data'!$B$5:$B$2000,$A54))</f>
        <v/>
      </c>
      <c r="J54" s="14" t="str">
        <f>IF(A54="","",COUNTIFS('Match Data'!$B$5:$B$2000,$A54,'Match Data'!$I$5:$I$2000,"Win"))</f>
        <v/>
      </c>
      <c r="K54" s="18" t="str">
        <f t="shared" si="1"/>
        <v/>
      </c>
      <c r="L54" s="14" t="str">
        <f>IFERROR(AVERAGEIFS('Match Data'!$J$5:$J$2000,'Match Data'!$B$5:$B$2000,$A54),"")</f>
        <v/>
      </c>
      <c r="M54" s="14" t="str">
        <f>IFERROR(AVERAGEIFS('Match Data'!$K$5:$K$2000,'Match Data'!$B$5:$B$2000,$A54),"")</f>
        <v/>
      </c>
      <c r="N54" s="14" t="str">
        <f>IFERROR(AVERAGEIFS('Match Data'!$L$5:$L$2000,'Match Data'!$B$5:$B$2000,$A54),"")</f>
        <v/>
      </c>
      <c r="O54" s="14" t="str">
        <f>IFERROR(AVERAGEIFS('Match Data'!$M$5:$M$2000,'Match Data'!$B$5:$B$2000,$A54),"")</f>
        <v/>
      </c>
      <c r="P54" s="37">
        <f>IFERROR(maxifs('Session Log'!$B$5:$B$2000,'Session Log'!$E$5:$E$2000,$A54),"")</f>
        <v>0</v>
      </c>
      <c r="Q54" s="37">
        <f>IFERROR(maxifs('Match Data'!$C$5:$C$2000,'Match Data'!$B$5:$B$2000,$A54),"")</f>
        <v>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conditionalFormatting sqref="F5:G54">
    <cfRule type="colorScale" priority="1">
      <colorScale>
        <cfvo type="formula" val="0"/>
        <cfvo type="formula" val="0.7"/>
        <cfvo type="formula" val="1"/>
        <color rgb="FFF8696B"/>
        <color rgb="FFFFEB84"/>
        <color rgb="FF63BE7B"/>
      </colorScale>
    </cfRule>
  </conditionalFormatting>
  <conditionalFormatting sqref="K5:K54">
    <cfRule type="colorScale" priority="2">
      <colorScale>
        <cfvo type="formula" val="0"/>
        <cfvo type="formula" val="0.5"/>
        <cfvo type="formula" val="1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2026-03-09T09:41:47Z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